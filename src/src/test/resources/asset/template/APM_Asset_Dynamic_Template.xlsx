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qtang/Desktop/APM/Git/hc-apm-web/src/src/test/resources/asset/template/"/>
    </mc:Choice>
  </mc:AlternateContent>
  <xr:revisionPtr revIDLastSave="0" documentId="10_ncr:8100000_{302F2F71-FF26-BF4B-B316-E799DA258DB4}" xr6:coauthVersionLast="34" xr6:coauthVersionMax="34" xr10:uidLastSave="{00000000-0000-0000-0000-000000000000}"/>
  <bookViews>
    <workbookView xWindow="0" yWindow="460" windowWidth="29040" windowHeight="18240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xlnm.Print_Titles" localSheetId="1">'Org List'!$4:$4</definedName>
    <definedName name="_xlnm.Print_Titles" localSheetId="2">'User List'!$4:$4</definedName>
  </definedNames>
  <calcPr calcId="162913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<sst xmlns="http://schemas.openxmlformats.org/spreadsheetml/2006/main" count="637" uniqueCount="536">
  <si>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</si>
  <si>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</si>
  <si>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</si>
  <si>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</si>
  <si>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</si>
  <si>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</si>
  <si>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</si>
  <si>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</si>
  <si>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</si>
  <si>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</si>
  <si>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</si>
  <si>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</si>
  <si>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</si>
  <si>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</si>
  <si>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</si>
  <si>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</si>
  <si>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</si>
  <si>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</si>
  <si>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</si>
  <si>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</si>
  <si>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</si>
  <si>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</si>
  <si>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</si>
  <si>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</si>
  <si>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</si>
  <si>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</si>
  <si>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</si>
  <si>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</si>
  <si>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</si>
  <si>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</si>
  <si>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</si>
  <si>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</si>
  <si>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</si>
  <si>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</si>
  <si>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</si>
  <si>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</si>
  <si>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</si>
  <si>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</si>
  <si>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</si>
  <si>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</si>
  <si>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</si>
  <si>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</si>
  <si>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</si>
  <si>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</si>
  <si>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</si>
  <si>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</si>
  <si>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</si>
  <si>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</si>
  <si>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</si>
  <si>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</si>
  <si>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</si>
  <si>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</si>
  <si>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</si>
  <si>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</si>
  <si>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</si>
  <si>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</si>
  <si>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</si>
  <si>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</si>
  <si>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</si>
  <si>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</si>
  <si>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</si>
  <si>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</si>
  <si>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</si>
  <si>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</si>
  <si>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</si>
  <si>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</si>
  <si>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</si>
  <si>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</si>
  <si>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</si>
  <si>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</si>
  <si>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</si>
  <si>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</si>
  <si>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</si>
  <si>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</si>
  <si>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</si>
  <si>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</si>
  <si>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</si>
  <si>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</si>
  <si>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</si>
  <si>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</si>
  <si>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</si>
  <si>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</si>
  <si>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</si>
  <si>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</si>
  <si>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</si>
  <si>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</si>
  <si>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</si>
  <si>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</si>
  <si>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</si>
  <si>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</si>
  <si>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</si>
  <si>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</si>
  <si>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</si>
  <si>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</si>
  <si>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</si>
  <si>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</si>
  <si>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</si>
  <si>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</si>
  <si>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</si>
  <si>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</si>
  <si>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</si>
  <si>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</si>
  <si>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</si>
  <si>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</si>
  <si>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</si>
  <si>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</si>
  <si>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</si>
  <si>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</si>
  <si>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</si>
  <si>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</si>
  <si>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</si>
  <si>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</si>
  <si>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</si>
  <si>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</si>
  <si>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</si>
  <si>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</si>
  <si>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</si>
  <si>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</si>
  <si>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</si>
  <si>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</si>
  <si>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</si>
  <si>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</si>
  <si>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</si>
  <si>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</si>
  <si>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</si>
  <si>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</si>
  <si>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</si>
  <si>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</si>
  <si>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</si>
  <si>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</si>
  <si>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</si>
  <si>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</si>
  <si>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</si>
  <si>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</si>
  <si>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</si>
  <si>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</si>
  <si>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</si>
  <si>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</si>
  <si>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</si>
  <si>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</si>
  <si>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</si>
  <si>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</si>
  <si>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</si>
  <si>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</si>
  <si>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</si>
  <si>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</si>
  <si>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</si>
  <si>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</si>
  <si>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</si>
  <si>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</si>
  <si>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</si>
  <si>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</si>
  <si>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</si>
  <si>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</si>
  <si>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</si>
  <si>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</si>
  <si>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</si>
  <si>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</si>
  <si>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</si>
  <si>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</si>
  <si>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</si>
  <si>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</si>
  <si>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</si>
  <si>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</si>
  <si>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</si>
  <si>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</si>
  <si>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</si>
  <si>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</si>
  <si>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</si>
  <si>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</si>
  <si>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</si>
  <si>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</si>
  <si>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</si>
  <si>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</si>
  <si>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</si>
  <si>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</si>
  <si>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</si>
  <si>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</si>
  <si>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</si>
  <si>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</si>
  <si>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</si>
  <si>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</si>
  <si>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</si>
  <si>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</si>
  <si>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</si>
  <si>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</si>
  <si>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</si>
  <si>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</si>
  <si>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</si>
  <si>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</si>
  <si>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</si>
  <si>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</si>
  <si>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</si>
  <si>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</si>
  <si>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</si>
  <si>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</si>
  <si>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</si>
  <si>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</si>
  <si>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</si>
  <si>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</si>
  <si>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</si>
  <si>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</si>
  <si>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</si>
  <si>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</si>
  <si>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</si>
  <si>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</si>
  <si>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</si>
  <si>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</si>
  <si>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</si>
  <si>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</si>
  <si>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</si>
  <si>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</si>
  <si>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</si>
  <si>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</si>
  <si>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</si>
  <si>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</si>
  <si>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</si>
  <si>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</si>
  <si>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</si>
  <si>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</si>
  <si>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</si>
  <si>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</si>
  <si>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</si>
  <si>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</si>
  <si>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</si>
  <si>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</si>
  <si>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</si>
  <si>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</si>
  <si>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</si>
  <si>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</si>
  <si>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</si>
  <si>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</si>
  <si>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</si>
  <si>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</si>
  <si>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</si>
  <si>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</si>
  <si>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</si>
  <si>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</si>
  <si>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</si>
  <si>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</si>
  <si>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</si>
  <si>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</si>
  <si>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</si>
  <si>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</si>
  <si>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</si>
  <si>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</si>
  <si>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</si>
  <si>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</si>
  <si>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</si>
  <si>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</si>
  <si>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</si>
  <si>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</si>
  <si>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</si>
  <si>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</si>
  <si>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</si>
  <si>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</si>
  <si>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</si>
  <si>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</si>
  <si>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</si>
  <si>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</si>
  <si>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</si>
  <si>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</si>
  <si>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</si>
  <si>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</si>
  <si>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</si>
  <si>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</si>
  <si>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</si>
  <si>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</si>
  <si>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</si>
  <si>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</si>
  <si>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</si>
  <si>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</si>
  <si>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</si>
  <si>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</si>
  <si>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</si>
  <si>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</si>
  <si>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</si>
  <si>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</si>
  <si>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</si>
  <si>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</si>
  <si>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</si>
  <si>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</si>
  <si>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</si>
  <si>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</si>
  <si>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</si>
  <si>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</si>
  <si>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</si>
  <si>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</si>
  <si>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</si>
  <si>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</si>
  <si>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</si>
  <si>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</si>
  <si>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</si>
  <si>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</si>
  <si>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</si>
  <si>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</si>
  <si>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</si>
  <si>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</si>
  <si>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</si>
  <si>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</si>
  <si>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</si>
  <si>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</si>
  <si>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</si>
  <si>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</si>
  <si>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</si>
  <si>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</si>
  <si>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</si>
  <si>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</si>
  <si>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</si>
  <si>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</si>
  <si>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</si>
  <si>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</si>
  <si>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</si>
  <si>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</si>
  <si>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</si>
  <si>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</si>
  <si>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</si>
  <si>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</si>
  <si>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</si>
  <si>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</si>
  <si>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</si>
  <si>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</si>
  <si>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</si>
  <si>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</si>
  <si>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</si>
  <si>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</si>
  <si>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</si>
  <si>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</si>
  <si>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</si>
  <si>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</si>
  <si>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</si>
  <si>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</si>
  <si>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</si>
  <si>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</si>
  <si>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</si>
  <si>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</si>
  <si>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</si>
  <si>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</si>
  <si>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</si>
  <si>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</si>
  <si>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</si>
  <si>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</si>
  <si>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</si>
  <si>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</si>
  <si>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</si>
  <si>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</si>
  <si>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</si>
  <si>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</si>
  <si>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</si>
  <si>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</si>
  <si>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</si>
  <si>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</si>
  <si>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</si>
  <si>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</si>
  <si>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</si>
  <si>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</si>
  <si>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</si>
  <si>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</si>
  <si>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</si>
  <si>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</si>
  <si>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</si>
  <si>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</si>
  <si>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</si>
  <si>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</si>
  <si>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</si>
  <si>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</si>
  <si>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</si>
  <si>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</si>
  <si>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</si>
  <si>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</si>
  <si>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</si>
  <si>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</si>
  <si>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</si>
  <si>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</si>
  <si>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</si>
  <si>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</si>
  <si>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</si>
  <si>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</si>
  <si>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</si>
  <si>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</si>
  <si>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</si>
  <si>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</si>
  <si>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</si>
  <si>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</si>
  <si>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</si>
  <si>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</si>
  <si>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</si>
  <si>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</si>
  <si>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</si>
  <si>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</si>
  <si>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</si>
  <si>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</si>
  <si>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</si>
  <si>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</si>
  <si>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</si>
  <si>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</si>
  <si>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</si>
  <si>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</si>
  <si>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</si>
  <si>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</si>
  <si>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</si>
  <si>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4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</si>
  <si>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4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</si>
  <si>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</si>
  <si>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</si>
  <si>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</si>
  <si>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</si>
  <si>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</si>
  <si>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</si>
  <si>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</si>
  <si>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</si>
  <si>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</si>
  <si>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</si>
  <si>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</si>
  <si>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</si>
  <si>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</si>
  <si>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</si>
  <si>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</si>
  <si>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</si>
  <si>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</si>
  <si>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</si>
  <si>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</si>
  <si>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</si>
  <si>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</si>
  <si>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</si>
  <si>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</si>
  <si>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</si>
  <si>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</si>
  <si>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</si>
  <si>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</si>
  <si>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</si>
  <si>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</si>
  <si>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</si>
  <si>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</si>
  <si>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</si>
  <si>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</si>
  <si>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</si>
  <si>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</si>
  <si>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</si>
  <si>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</si>
  <si>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</si>
  <si>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</si>
  <si>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</si>
  <si>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</si>
  <si>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</si>
  <si>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</si>
  <si>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</si>
  <si>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</si>
  <si>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</si>
  <si>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</si>
  <si>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</si>
  <si>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</si>
  <si>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</si>
  <si>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</si>
  <si>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</si>
  <si>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</si>
  <si>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</si>
  <si>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</si>
  <si>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</si>
  <si>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</si>
  <si>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</si>
  <si>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</si>
  <si>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</si>
  <si>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</si>
  <si>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</si>
  <si>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</si>
  <si>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</si>
  <si>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</si>
  <si>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</si>
  <si>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</si>
  <si>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</si>
  <si>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</si>
  <si>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</si>
  <si>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</si>
  <si>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</si>
  <si>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</si>
  <si>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</si>
  <si>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</si>
  <si>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4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</si>
  <si>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</si>
  <si>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</si>
  <si>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</si>
  <si>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</si>
  <si>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</si>
  <si>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</si>
  <si>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</si>
  <si>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</si>
  <si>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</si>
  <si>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</si>
  <si>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</si>
  <si>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</si>
  <si>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</si>
  <si>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</si>
  <si>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#</t>
  </si>
  <si>
    <t>6820普通诊察器械</t>
  </si>
  <si>
    <t>6832医用高能射线设备</t>
  </si>
  <si>
    <t>当前状态</t>
  </si>
  <si>
    <t>正常</t>
  </si>
  <si>
    <t>停机</t>
  </si>
  <si>
    <t>限制功能使用</t>
  </si>
  <si>
    <t>是否</t>
  </si>
  <si>
    <t>是</t>
  </si>
  <si>
    <t>否</t>
  </si>
  <si>
    <t>必须有有效数据且院区不重复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</si>
  <si>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</si>
  <si>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</si>
  <si>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</si>
  <si>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维修商</t>
  </si>
  <si>
    <t>维修商电话</t>
  </si>
  <si>
    <t>上次巡检日期</t>
  </si>
  <si>
    <t>6801基础外科手术器械</t>
  </si>
  <si>
    <t>6802显微外科手术器械</t>
  </si>
  <si>
    <t>6803神经外科手术器械</t>
  </si>
  <si>
    <t>医用缝合针(不带线)</t>
  </si>
  <si>
    <t>显微外科用刀、凿</t>
  </si>
  <si>
    <t>神经外科脑内用刀</t>
  </si>
  <si>
    <t>基础外科用刀</t>
  </si>
  <si>
    <t>基础外科用剪</t>
  </si>
  <si>
    <t>基础外科用钳</t>
  </si>
  <si>
    <t>基础外科用镊夹</t>
  </si>
  <si>
    <t>基础外科用针、钩</t>
  </si>
  <si>
    <t>基础外科其它器械</t>
  </si>
  <si>
    <t>显微外科用剪</t>
  </si>
  <si>
    <t>显微外科用钳</t>
  </si>
  <si>
    <t>显微外科用镊、夹</t>
  </si>
  <si>
    <t>显微外科用针、钩</t>
  </si>
  <si>
    <t>显微外科用其他器械</t>
  </si>
  <si>
    <t>神经外科脑内用钳</t>
  </si>
  <si>
    <t>神经外科脑内用镊</t>
  </si>
  <si>
    <t>神经外科脑内用钩、刮</t>
  </si>
  <si>
    <t>神经外科脑内用其他器械</t>
  </si>
  <si>
    <t>v2.4</t>
  </si>
  <si>
    <t>资产价值分类</t>
  </si>
  <si>
    <t>大型</t>
  </si>
  <si>
    <t>中型</t>
  </si>
  <si>
    <t>小型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</si>
</sst>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</numFmts>
  <fonts count="39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11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3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0" fillId="6" borderId="4" xfId="0" applyFont="1" applyFill="1" applyBorder="1">
      <alignment vertical="center"/>
    </xf>
    <xf numFmtId="0" fontId="21" fillId="7" borderId="4" xfId="3" applyFont="1" applyFill="1" applyBorder="1">
      <alignment horizontal="left" vertical="center" indent="1"/>
    </xf>
    <xf numFmtId="3" fontId="22" fillId="0" borderId="4" xfId="14" applyNumberFormat="1" applyFont="1" applyBorder="1" applyAlignment="1">
      <alignment horizontal="center" vertical="top"/>
    </xf>
    <xf numFmtId="0" fontId="0" fillId="0" borderId="4" xfId="0" applyBorder="1">
      <alignment vertical="center"/>
    </xf>
    <xf numFmtId="166" fontId="22" fillId="0" borderId="4" xfId="14" applyNumberFormat="1" applyFont="1" applyBorder="1" applyAlignment="1">
      <alignment horizontal="center" vertical="top"/>
    </xf>
    <xf numFmtId="0" fontId="21" fillId="0" borderId="4" xfId="3" applyFont="1" applyFill="1" applyBorder="1">
      <alignment horizontal="left" vertical="center" indent="1"/>
    </xf>
    <xf numFmtId="0" fontId="22" fillId="0" borderId="4" xfId="14" applyFont="1" applyBorder="1" applyAlignment="1">
      <alignment horizontal="center" vertical="top"/>
    </xf>
    <xf numFmtId="0" fontId="21" fillId="8" borderId="4" xfId="3" applyFont="1" applyFill="1" applyBorder="1">
      <alignment horizontal="left" vertical="center" indent="1"/>
    </xf>
    <xf numFmtId="0" fontId="25" fillId="0" borderId="4" xfId="1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1" fillId="9" borderId="4" xfId="3" applyFont="1" applyFill="1" applyBorder="1">
      <alignment horizontal="left" vertical="center" indent="1"/>
    </xf>
    <xf numFmtId="0" fontId="26" fillId="0" borderId="4" xfId="0" applyFont="1" applyBorder="1">
      <alignment vertical="center"/>
    </xf>
    <xf numFmtId="49" fontId="21" fillId="8" borderId="4" xfId="3" applyNumberFormat="1" applyFont="1" applyFill="1" applyBorder="1">
      <alignment horizontal="left" vertical="center" indent="1"/>
    </xf>
    <xf numFmtId="49" fontId="25" fillId="0" borderId="4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27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29" fillId="10" borderId="6" xfId="15" applyFont="1" applyFill="1" applyBorder="1" applyAlignment="1">
      <alignment horizontal="center" vertical="center"/>
    </xf>
    <xf numFmtId="0" fontId="29" fillId="10" borderId="7" xfId="15" applyFont="1" applyFill="1" applyBorder="1" applyAlignment="1">
      <alignment horizontal="center" vertical="center"/>
    </xf>
    <xf numFmtId="0" fontId="30" fillId="0" borderId="8" xfId="15" applyFont="1" applyBorder="1" applyAlignment="1">
      <alignment horizontal="right" vertical="center"/>
    </xf>
    <xf numFmtId="0" fontId="31" fillId="0" borderId="4" xfId="15" applyFont="1" applyBorder="1" applyAlignment="1">
      <alignment vertical="center"/>
    </xf>
    <xf numFmtId="0" fontId="30" fillId="0" borderId="4" xfId="15" applyFont="1" applyFill="1" applyBorder="1" applyAlignment="1">
      <alignment vertical="center"/>
    </xf>
    <xf numFmtId="0" fontId="30" fillId="0" borderId="9" xfId="15" applyFont="1" applyFill="1" applyBorder="1" applyAlignment="1">
      <alignment vertical="center"/>
    </xf>
    <xf numFmtId="0" fontId="30" fillId="0" borderId="10" xfId="15" applyFont="1" applyBorder="1" applyAlignment="1">
      <alignment horizontal="right" vertical="center"/>
    </xf>
    <xf numFmtId="0" fontId="31" fillId="0" borderId="11" xfId="15" applyFont="1" applyBorder="1" applyAlignment="1">
      <alignment vertical="center"/>
    </xf>
    <xf numFmtId="0" fontId="30" fillId="0" borderId="11" xfId="15" applyFont="1" applyFill="1" applyBorder="1" applyAlignment="1">
      <alignment vertical="center"/>
    </xf>
    <xf numFmtId="0" fontId="30" fillId="0" borderId="12" xfId="15" applyFont="1" applyFill="1" applyBorder="1" applyAlignment="1">
      <alignment vertical="center"/>
    </xf>
    <xf numFmtId="0" fontId="30" fillId="0" borderId="0" xfId="15" applyFont="1" applyBorder="1" applyAlignment="1">
      <alignment horizontal="right" vertical="center"/>
    </xf>
    <xf numFmtId="0" fontId="31" fillId="0" borderId="0" xfId="15" applyFont="1" applyBorder="1" applyAlignment="1">
      <alignment vertical="center"/>
    </xf>
    <xf numFmtId="0" fontId="30" fillId="0" borderId="0" xfId="15" applyFont="1" applyFill="1" applyBorder="1" applyAlignment="1">
      <alignment vertical="center"/>
    </xf>
    <xf numFmtId="0" fontId="1" fillId="0" borderId="0" xfId="15" applyBorder="1"/>
    <xf numFmtId="0" fontId="29" fillId="8" borderId="15" xfId="15" applyFont="1" applyFill="1" applyBorder="1" applyAlignment="1">
      <alignment horizontal="center" vertical="center"/>
    </xf>
    <xf numFmtId="0" fontId="29" fillId="8" borderId="16" xfId="15" applyFont="1" applyFill="1" applyBorder="1" applyAlignment="1">
      <alignment horizontal="center" vertical="center"/>
    </xf>
    <xf numFmtId="0" fontId="30" fillId="0" borderId="17" xfId="15" applyFont="1" applyBorder="1" applyAlignment="1">
      <alignment horizontal="right" vertical="center"/>
    </xf>
    <xf numFmtId="0" fontId="31" fillId="0" borderId="18" xfId="15" applyFont="1" applyBorder="1" applyAlignment="1">
      <alignment vertical="center"/>
    </xf>
    <xf numFmtId="0" fontId="30" fillId="0" borderId="18" xfId="15" applyFont="1" applyBorder="1" applyAlignment="1">
      <alignment vertical="center"/>
    </xf>
    <xf numFmtId="0" fontId="30" fillId="0" borderId="19" xfId="15" applyFont="1" applyBorder="1" applyAlignment="1">
      <alignment vertical="center"/>
    </xf>
    <xf numFmtId="0" fontId="30" fillId="0" borderId="4" xfId="15" applyFont="1" applyBorder="1" applyAlignment="1">
      <alignment vertical="center"/>
    </xf>
    <xf numFmtId="0" fontId="30" fillId="0" borderId="9" xfId="15" applyFont="1" applyBorder="1" applyAlignment="1">
      <alignment vertical="center"/>
    </xf>
    <xf numFmtId="0" fontId="30" fillId="0" borderId="11" xfId="15" applyFont="1" applyBorder="1" applyAlignment="1">
      <alignment vertical="center"/>
    </xf>
    <xf numFmtId="0" fontId="30" fillId="0" borderId="12" xfId="15" applyFont="1" applyBorder="1" applyAlignment="1">
      <alignment vertical="center"/>
    </xf>
    <xf numFmtId="0" fontId="33" fillId="0" borderId="0" xfId="15" applyFont="1" applyAlignment="1">
      <alignment vertical="center"/>
    </xf>
    <xf numFmtId="0" fontId="29" fillId="9" borderId="15" xfId="15" applyFont="1" applyFill="1" applyBorder="1" applyAlignment="1">
      <alignment horizontal="center" vertical="center"/>
    </xf>
    <xf numFmtId="0" fontId="29" fillId="9" borderId="16" xfId="15" applyFont="1" applyFill="1" applyBorder="1" applyAlignment="1">
      <alignment horizontal="center" vertical="center"/>
    </xf>
    <xf numFmtId="0" fontId="21" fillId="0" borderId="18" xfId="3" applyFont="1" applyFill="1" applyBorder="1">
      <alignment horizontal="left" vertical="center" indent="1"/>
    </xf>
    <xf numFmtId="0" fontId="30" fillId="0" borderId="20" xfId="15" applyFont="1" applyFill="1" applyBorder="1" applyAlignment="1">
      <alignment vertical="center"/>
    </xf>
    <xf numFmtId="0" fontId="30" fillId="0" borderId="21" xfId="15" applyFont="1" applyFill="1" applyBorder="1" applyAlignment="1">
      <alignment vertical="center"/>
    </xf>
    <xf numFmtId="0" fontId="1" fillId="0" borderId="18" xfId="15" applyBorder="1"/>
    <xf numFmtId="0" fontId="1" fillId="0" borderId="19" xfId="15" applyBorder="1"/>
    <xf numFmtId="0" fontId="21" fillId="0" borderId="11" xfId="3" applyFont="1" applyFill="1" applyBorder="1">
      <alignment horizontal="left" vertical="center" indent="1"/>
    </xf>
    <xf numFmtId="0" fontId="1" fillId="0" borderId="11" xfId="15" applyBorder="1"/>
    <xf numFmtId="0" fontId="1" fillId="0" borderId="12" xfId="15" applyBorder="1"/>
    <xf numFmtId="0" fontId="35" fillId="0" borderId="0" xfId="0" applyFont="1">
      <alignment vertical="center"/>
    </xf>
    <xf numFmtId="0" fontId="35" fillId="4" borderId="0" xfId="0" applyFont="1" applyFill="1">
      <alignment vertical="center"/>
    </xf>
    <xf numFmtId="0" fontId="35" fillId="0" borderId="0" xfId="0" applyFont="1">
      <alignment vertical="center"/>
    </xf>
    <xf numFmtId="0" fontId="35" fillId="0" borderId="0" xfId="0" applyFont="1">
      <alignment vertical="center"/>
    </xf>
    <xf numFmtId="0" fontId="35" fillId="0" borderId="0" xfId="0" applyFont="1">
      <alignment vertical="center"/>
    </xf>
    <xf numFmtId="0" fontId="35" fillId="4" borderId="0" xfId="0" applyFont="1" applyFill="1">
      <alignment vertical="center"/>
    </xf>
    <xf numFmtId="0" fontId="35" fillId="0" borderId="0" xfId="0" applyFont="1">
      <alignment vertical="center"/>
    </xf>
    <xf numFmtId="0" fontId="35" fillId="4" borderId="0" xfId="0" applyFont="1" applyFill="1">
      <alignment vertical="center"/>
    </xf>
    <xf numFmtId="0" fontId="35" fillId="0" borderId="0" xfId="0" applyFont="1">
      <alignment vertical="center"/>
    </xf>
    <xf numFmtId="0" fontId="35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5" fillId="0" borderId="0" xfId="0" applyFont="1">
      <alignment vertical="center"/>
    </xf>
    <xf numFmtId="0" fontId="35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6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6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8" fillId="5" borderId="0" xfId="0" applyFont="1" applyFill="1">
      <alignment vertical="center"/>
    </xf>
    <xf numFmtId="0" fontId="37" fillId="0" borderId="0" xfId="0" applyFont="1" applyAlignment="1">
      <alignment vertical="center"/>
    </xf>
    <xf numFmtId="49" fontId="38" fillId="5" borderId="3" xfId="10" applyNumberFormat="1" applyFont="1" applyFill="1" applyBorder="1" applyAlignment="1">
      <alignment horizontal="left" vertical="center" wrapText="1" indent="1"/>
    </xf>
    <xf numFmtId="0" fontId="28" fillId="10" borderId="5" xfId="15" applyFont="1" applyFill="1" applyBorder="1" applyAlignment="1">
      <alignment horizontal="center" vertical="center"/>
    </xf>
    <xf numFmtId="0" fontId="28" fillId="8" borderId="13" xfId="15" applyFont="1" applyFill="1" applyBorder="1" applyAlignment="1">
      <alignment horizontal="center" vertical="center"/>
    </xf>
    <xf numFmtId="0" fontId="28" fillId="8" borderId="14" xfId="15" applyFont="1" applyFill="1" applyBorder="1" applyAlignment="1">
      <alignment horizontal="center" vertical="center"/>
    </xf>
    <xf numFmtId="0" fontId="28" fillId="8" borderId="7" xfId="15" applyFont="1" applyFill="1" applyBorder="1" applyAlignment="1">
      <alignment horizontal="center" vertical="center"/>
    </xf>
    <xf numFmtId="0" fontId="28" fillId="9" borderId="13" xfId="15" applyFont="1" applyFill="1" applyBorder="1" applyAlignment="1">
      <alignment horizontal="center" vertical="center"/>
    </xf>
    <xf numFmtId="0" fontId="28" fillId="9" borderId="14" xfId="15" applyFont="1" applyFill="1" applyBorder="1" applyAlignment="1">
      <alignment horizontal="center" vertical="center"/>
    </xf>
    <xf numFmtId="0" fontId="28" fillId="9" borderId="7" xfId="15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1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10"/>
      <tableStyleElement type="headerRow" dxfId="9"/>
    </tableStyle>
    <tableStyle name="Warehouse Inventory" pivot="0" count="4" xr9:uid="{00000000-0011-0000-FFFF-FFFF01000000}">
      <tableStyleElement type="wholeTable" dxfId="8"/>
      <tableStyleElement type="headerRow" dxfId="7"/>
      <tableStyleElement type="lastColumn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InventoryPickList" displayName="InventoryPickList" ref="A4:A10" totalsRowShown="0">
  <tableColumns count="1">
    <tableColumn id="9" xr3:uid="{00000000-0010-0000-0000-000009000000}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I5"/>
  <sheetViews>
    <sheetView showGridLines="0" tabSelected="1" topLeftCell="A2" workbookViewId="0">
      <selection activeCell="A3" sqref="A3"/>
    </sheetView>
  </sheetViews>
  <sheetFormatPr baseColWidth="10" defaultColWidth="8.83203125" defaultRowHeight="30" customHeight="1"/>
  <cols>
    <col min="1" max="1" width="17.83203125" customWidth="1"/>
    <col min="2" max="2" width="19" customWidth="1"/>
    <col min="3" max="3" width="10.1640625" customWidth="1"/>
    <col min="4" max="4" width="11.5" customWidth="1"/>
    <col min="5" max="5" width="13.5" customWidth="1"/>
    <col min="6" max="8" width="13.5" style="85" customWidth="1"/>
    <col min="9" max="9" width="17.1640625" bestFit="1" customWidth="1"/>
    <col min="10" max="10" width="16.33203125" style="85" bestFit="1" customWidth="1"/>
    <col min="11" max="11" width="16.33203125" style="85" customWidth="1"/>
    <col min="12" max="12" width="9.1640625" customWidth="1"/>
    <col min="13" max="13" width="18.83203125" style="90" customWidth="1"/>
    <col min="14" max="14" width="22.5" bestFit="1" customWidth="1"/>
    <col min="15" max="15" width="24.6640625" bestFit="1" customWidth="1"/>
    <col min="16" max="16" width="19" customWidth="1"/>
    <col min="17" max="17" width="19" style="85" customWidth="1"/>
    <col min="18" max="18" width="10" customWidth="1"/>
    <col min="19" max="19" width="10" style="85" customWidth="1"/>
    <col min="20" max="21" width="10.1640625" customWidth="1"/>
    <col min="22" max="22" width="19.1640625" customWidth="1"/>
    <col min="23" max="23" width="19.1640625" style="85" customWidth="1"/>
    <col min="24" max="24" width="14.6640625" customWidth="1"/>
    <col min="25" max="26" width="10.1640625" customWidth="1"/>
    <col min="27" max="27" width="13.6640625" customWidth="1"/>
    <col min="28" max="28" width="17.5" customWidth="1"/>
    <col min="29" max="29" width="14.5" customWidth="1"/>
    <col min="30" max="30" width="11.1640625" customWidth="1"/>
    <col min="31" max="31" width="9" customWidth="1"/>
    <col min="32" max="32" width="11.5" customWidth="1"/>
    <col min="33" max="33" width="10.1640625" customWidth="1"/>
    <col min="34" max="34" width="11.5" customWidth="1"/>
    <col min="35" max="35" width="11.5" style="85" customWidth="1"/>
    <col min="36" max="36" width="13.1640625" bestFit="1" customWidth="1"/>
    <col min="37" max="37" width="13.33203125" customWidth="1"/>
    <col min="38" max="38" width="14.6640625" customWidth="1"/>
    <col min="39" max="39" width="12.5" customWidth="1"/>
    <col min="40" max="40" width="12.6640625" customWidth="1"/>
    <col min="41" max="42" width="12.33203125" style="90" customWidth="1"/>
    <col min="43" max="43" width="16.1640625" style="90" customWidth="1"/>
    <col min="44" max="44" width="12.83203125" style="90" bestFit="1" customWidth="1"/>
    <col min="45" max="45" width="9.1640625" style="90" bestFit="1" customWidth="1"/>
    <col min="46" max="46" width="11.1640625" style="90" bestFit="1" customWidth="1"/>
    <col min="47" max="47" width="9.1640625" style="90" bestFit="1" customWidth="1"/>
    <col min="51" max="51" width="9.33203125" bestFit="1" customWidth="1"/>
    <col min="52" max="52" width="11.6640625" customWidth="1"/>
    <col min="53" max="54" width="12.83203125" bestFit="1" customWidth="1"/>
    <col min="55" max="55" width="11.33203125" customWidth="1"/>
    <col min="56" max="57" width="11.33203125" style="85" customWidth="1"/>
    <col min="58" max="58" width="27.5" customWidth="1"/>
    <col min="59" max="59" width="10.83203125" bestFit="1" customWidth="1"/>
    <col min="60" max="60" width="11.6640625" bestFit="1" customWidth="1"/>
    <col min="61" max="61" width="12.33203125" bestFit="1" customWidth="1"/>
  </cols>
  <sheetData>
    <row r="1" spans="1:61" ht="27" hidden="1" customHeight="1">
      <c r="A1" s="17" t="s">
        <v>38</v>
      </c>
      <c r="B1" s="17" t="s">
        <v>14</v>
      </c>
      <c r="C1" s="17"/>
      <c r="D1" s="98" t="s">
        <v>104</v>
      </c>
      <c r="E1" s="99"/>
      <c r="F1" s="99"/>
      <c r="G1" s="99"/>
      <c r="H1" s="99"/>
      <c r="I1" s="99"/>
      <c r="J1" s="99"/>
      <c r="K1" s="99"/>
      <c r="L1" s="99"/>
      <c r="M1" s="99"/>
      <c r="BG1" s="99"/>
    </row>
    <row r="2" spans="1:61" ht="14">
      <c r="A2" s="100"/>
      <c r="B2" s="102" t="s">
        <v>505</v>
      </c>
      <c r="C2" s="18" t="s">
        <v>531</v>
      </c>
      <c r="D2" s="99"/>
      <c r="E2" s="101" t="s">
        <v>504</v>
      </c>
      <c r="F2" s="99"/>
      <c r="G2" s="99"/>
      <c r="H2" s="99"/>
      <c r="I2" s="99"/>
      <c r="J2" s="99"/>
      <c r="K2" s="99"/>
      <c r="L2" s="99"/>
      <c r="M2" s="99"/>
      <c r="BG2" s="99"/>
    </row>
    <row r="3" spans="1:61" ht="34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86"/>
      <c r="K3" s="86"/>
      <c r="L3" s="1"/>
      <c r="M3" s="89"/>
      <c r="N3" s="1"/>
      <c r="O3" s="1"/>
      <c r="P3" s="1"/>
      <c r="Q3" s="86"/>
      <c r="R3" s="1"/>
      <c r="S3" s="86"/>
      <c r="T3" s="1"/>
      <c r="U3" s="1"/>
      <c r="V3" s="1"/>
      <c r="W3" s="86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86"/>
      <c r="AJ3" s="1"/>
      <c r="AK3" s="1"/>
      <c r="AL3" s="1"/>
      <c r="AM3" s="1"/>
      <c r="AN3" s="1"/>
      <c r="AO3" s="89"/>
      <c r="AP3" s="89"/>
      <c r="AQ3" s="89"/>
      <c r="AR3" s="89"/>
      <c r="AS3" s="89"/>
      <c r="AT3" s="89"/>
      <c r="AU3" s="89"/>
      <c r="AV3" s="1"/>
      <c r="AW3" s="1"/>
      <c r="AX3" s="1"/>
      <c r="AY3" s="1"/>
      <c r="AZ3" s="1"/>
      <c r="BA3" s="1"/>
      <c r="BB3" s="1"/>
      <c r="BC3" s="86"/>
      <c r="BD3" s="86"/>
      <c r="BE3" s="86"/>
      <c r="BF3" s="86"/>
      <c r="BG3" s="1"/>
      <c r="BH3" s="86"/>
      <c r="BI3" s="86"/>
    </row>
    <row r="4" spans="1:61" ht="14">
      <c r="A4" s="2" t="s">
        <v>11</v>
      </c>
      <c r="B4" s="4" t="s">
        <v>10</v>
      </c>
      <c r="C4" s="4"/>
      <c r="D4" s="2"/>
      <c r="E4" s="11"/>
      <c r="F4" s="11"/>
      <c r="G4" s="11"/>
      <c r="H4" s="11"/>
      <c r="BG4" s="9"/>
      <c r="BH4" s="9"/>
      <c r="BI4" s="9"/>
    </row>
    <row r="5" spans="1:61" ht="20">
      <c r="A5" s="95">
        <f>COUNTA('Asset List'!#REF!)</f>
        <v>1</v>
      </c>
      <c r="B5" s="96" t="e">
        <f>SUM('Asset List'!#REF!)</f>
        <v>#REF!</v>
      </c>
      <c r="C5" s="10"/>
      <c r="D5" s="10"/>
      <c r="E5" s="11"/>
      <c r="F5" s="11"/>
      <c r="G5" s="11"/>
      <c r="H5" s="11"/>
    </row>
  </sheetData>
  <phoneticPr fontId="18" type="noConversion"/>
  <conditionalFormatting sqref="D1 E4:H5">
    <cfRule type="expression" dxfId="4" priority="85">
      <formula>"If(blnBinNo=""True"")"</formula>
    </cfRule>
  </conditionalFormatting>
  <conditionalFormatting sqref="B2">
    <cfRule type="expression" dxfId="3" priority="58">
      <formula>"If(blnBinNo=""True"")"</formula>
    </cfRule>
  </conditionalFormatting>
  <conditionalFormatting sqref="C2">
    <cfRule type="expression" dxfId="2" priority="37">
      <formula>"If(blnBinNo=""True"")"</formula>
    </cfRule>
  </conditionalFormatting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baseColWidth="10" defaultColWidth="8.83203125" defaultRowHeight="14"/>
  <cols>
    <col min="1" max="1" width="20.83203125" customWidth="1"/>
  </cols>
  <sheetData>
    <row r="1" spans="1:1" ht="34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36</v>
      </c>
    </row>
    <row r="8" spans="1:1">
      <c r="A8" s="15" t="s">
        <v>37</v>
      </c>
    </row>
    <row r="9" spans="1:1">
      <c r="A9" s="15" t="s">
        <v>79</v>
      </c>
    </row>
    <row r="10" spans="1:1">
      <c r="A10" s="94" t="s">
        <v>493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baseColWidth="10" defaultColWidth="8.83203125" defaultRowHeight="14"/>
  <cols>
    <col min="1" max="1" width="20.83203125" customWidth="1"/>
    <col min="2" max="2" width="19.5" customWidth="1"/>
    <col min="3" max="4" width="18.5" customWidth="1"/>
  </cols>
  <sheetData>
    <row r="1" spans="1:5" ht="34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75</v>
      </c>
      <c r="E4" t="s">
        <v>76</v>
      </c>
    </row>
    <row r="5" spans="1:5">
      <c r="A5" s="12" t="s">
        <v>8</v>
      </c>
      <c r="B5" s="12">
        <v>1</v>
      </c>
      <c r="C5" s="12">
        <v>18900000000</v>
      </c>
      <c r="D5" s="14" t="s">
        <v>79</v>
      </c>
      <c r="E5" s="15" t="s">
        <v>77</v>
      </c>
    </row>
    <row r="6" spans="1:5">
      <c r="A6" s="12" t="s">
        <v>9</v>
      </c>
      <c r="B6" s="12">
        <v>2</v>
      </c>
      <c r="C6" s="11">
        <v>18911111111</v>
      </c>
      <c r="D6" s="14" t="s">
        <v>79</v>
      </c>
      <c r="E6" s="15" t="s">
        <v>78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D4" sqref="D4"/>
    </sheetView>
  </sheetViews>
  <sheetFormatPr baseColWidth="10" defaultColWidth="8.83203125" defaultRowHeight="14"/>
  <cols>
    <col min="1" max="1" width="8.83203125" style="39" customWidth="1"/>
    <col min="2" max="2" width="32.6640625" style="39" customWidth="1"/>
    <col min="3" max="3" width="8.83203125" style="39"/>
    <col min="4" max="4" width="27.83203125" style="39" customWidth="1"/>
    <col min="5" max="16384" width="8.83203125" style="39"/>
  </cols>
  <sheetData>
    <row r="1" spans="1:4" ht="18" thickBot="1">
      <c r="A1" s="103" t="s">
        <v>131</v>
      </c>
      <c r="B1" s="103"/>
      <c r="C1" s="103"/>
      <c r="D1" s="103"/>
    </row>
    <row r="2" spans="1:4" ht="18" thickBot="1">
      <c r="A2" s="40" t="s">
        <v>132</v>
      </c>
      <c r="B2" s="41" t="s">
        <v>133</v>
      </c>
      <c r="C2" s="41" t="s">
        <v>134</v>
      </c>
      <c r="D2" s="41" t="s">
        <v>135</v>
      </c>
    </row>
    <row r="3" spans="1:4" ht="17">
      <c r="A3" s="42">
        <v>1</v>
      </c>
      <c r="B3" s="43" t="s">
        <v>156</v>
      </c>
      <c r="C3" s="44"/>
      <c r="D3" s="45" t="s">
        <v>503</v>
      </c>
    </row>
    <row r="4" spans="1:4" ht="18" thickBot="1">
      <c r="A4" s="46">
        <v>2</v>
      </c>
      <c r="B4" s="47" t="s">
        <v>136</v>
      </c>
      <c r="C4" s="48"/>
      <c r="D4" s="49" t="s">
        <v>137</v>
      </c>
    </row>
    <row r="5" spans="1:4" ht="18" thickBot="1">
      <c r="A5" s="46">
        <v>3</v>
      </c>
      <c r="B5" s="47" t="s">
        <v>138</v>
      </c>
      <c r="C5" s="48"/>
      <c r="D5" s="49" t="s">
        <v>137</v>
      </c>
    </row>
    <row r="6" spans="1:4" s="53" customFormat="1" ht="18" thickBot="1">
      <c r="A6" s="50"/>
      <c r="B6" s="51"/>
      <c r="C6" s="52"/>
      <c r="D6" s="52"/>
    </row>
    <row r="7" spans="1:4" s="53" customFormat="1" ht="18" thickBot="1">
      <c r="A7" s="104" t="s">
        <v>139</v>
      </c>
      <c r="B7" s="105"/>
      <c r="C7" s="105"/>
      <c r="D7" s="106"/>
    </row>
    <row r="8" spans="1:4" s="53" customFormat="1" ht="18" thickBot="1">
      <c r="A8" s="54" t="s">
        <v>132</v>
      </c>
      <c r="B8" s="55" t="s">
        <v>133</v>
      </c>
      <c r="C8" s="55" t="s">
        <v>134</v>
      </c>
      <c r="D8" s="55" t="s">
        <v>135</v>
      </c>
    </row>
    <row r="9" spans="1:4" ht="17">
      <c r="A9" s="56">
        <v>3</v>
      </c>
      <c r="B9" s="57" t="s">
        <v>140</v>
      </c>
      <c r="C9" s="58"/>
      <c r="D9" s="59"/>
    </row>
    <row r="10" spans="1:4" ht="17">
      <c r="A10" s="42">
        <v>4</v>
      </c>
      <c r="B10" s="43" t="s">
        <v>141</v>
      </c>
      <c r="C10" s="60"/>
      <c r="D10" s="61"/>
    </row>
    <row r="11" spans="1:4" ht="18" thickBot="1">
      <c r="A11" s="42">
        <v>5</v>
      </c>
      <c r="B11" s="43" t="s">
        <v>142</v>
      </c>
      <c r="C11" s="60"/>
      <c r="D11" s="61"/>
    </row>
    <row r="12" spans="1:4" ht="17">
      <c r="A12" s="56">
        <v>6</v>
      </c>
      <c r="B12" s="43" t="s">
        <v>143</v>
      </c>
      <c r="C12" s="60"/>
      <c r="D12" s="61"/>
    </row>
    <row r="13" spans="1:4" ht="17">
      <c r="A13" s="42">
        <v>7</v>
      </c>
      <c r="B13" s="43" t="s">
        <v>144</v>
      </c>
      <c r="C13" s="60"/>
      <c r="D13" s="61"/>
    </row>
    <row r="14" spans="1:4" ht="18" thickBot="1">
      <c r="A14" s="42">
        <v>8</v>
      </c>
      <c r="B14" s="43" t="s">
        <v>145</v>
      </c>
      <c r="C14" s="60"/>
      <c r="D14" s="61"/>
    </row>
    <row r="15" spans="1:4" ht="15">
      <c r="A15" s="56">
        <v>9</v>
      </c>
      <c r="B15" s="60" t="s">
        <v>146</v>
      </c>
      <c r="C15" s="60"/>
      <c r="D15" s="61"/>
    </row>
    <row r="16" spans="1:4" ht="17">
      <c r="A16" s="42">
        <v>10</v>
      </c>
      <c r="B16" s="43" t="s">
        <v>147</v>
      </c>
      <c r="C16" s="60"/>
      <c r="D16" s="61"/>
    </row>
    <row r="17" spans="1:4" ht="18" thickBot="1">
      <c r="A17" s="42">
        <v>11</v>
      </c>
      <c r="B17" s="43" t="s">
        <v>148</v>
      </c>
      <c r="C17" s="60"/>
      <c r="D17" s="61" t="s">
        <v>149</v>
      </c>
    </row>
    <row r="18" spans="1:4" ht="17">
      <c r="A18" s="56">
        <v>12</v>
      </c>
      <c r="B18" s="43" t="s">
        <v>150</v>
      </c>
      <c r="C18" s="60"/>
      <c r="D18" s="61"/>
    </row>
    <row r="19" spans="1:4" ht="17">
      <c r="A19" s="42">
        <v>13</v>
      </c>
      <c r="B19" s="43" t="s">
        <v>151</v>
      </c>
      <c r="C19" s="60"/>
      <c r="D19" s="61"/>
    </row>
    <row r="20" spans="1:4" ht="18" thickBot="1">
      <c r="A20" s="42">
        <v>14</v>
      </c>
      <c r="B20" s="43" t="s">
        <v>152</v>
      </c>
      <c r="C20" s="60"/>
      <c r="D20" s="61"/>
    </row>
    <row r="21" spans="1:4" ht="17">
      <c r="A21" s="56">
        <v>15</v>
      </c>
      <c r="B21" s="43" t="s">
        <v>153</v>
      </c>
      <c r="C21" s="60"/>
      <c r="D21" s="61"/>
    </row>
    <row r="22" spans="1:4" ht="18" thickBot="1">
      <c r="A22" s="42">
        <v>16</v>
      </c>
      <c r="B22" s="47" t="s">
        <v>154</v>
      </c>
      <c r="C22" s="62"/>
      <c r="D22" s="63"/>
    </row>
    <row r="23" spans="1:4" ht="16" thickBot="1">
      <c r="A23" s="64"/>
    </row>
    <row r="24" spans="1:4" ht="18" thickBot="1">
      <c r="A24" s="107" t="s">
        <v>155</v>
      </c>
      <c r="B24" s="108"/>
      <c r="C24" s="108"/>
      <c r="D24" s="109"/>
    </row>
    <row r="25" spans="1:4" ht="18" thickBot="1">
      <c r="A25" s="65" t="s">
        <v>132</v>
      </c>
      <c r="B25" s="66" t="s">
        <v>133</v>
      </c>
      <c r="C25" s="66" t="s">
        <v>134</v>
      </c>
      <c r="D25" s="66" t="s">
        <v>135</v>
      </c>
    </row>
    <row r="26" spans="1:4" ht="16" thickBot="1">
      <c r="A26" s="42">
        <v>17</v>
      </c>
      <c r="B26" s="67" t="s">
        <v>156</v>
      </c>
      <c r="C26" s="68"/>
      <c r="D26" s="69" t="s">
        <v>157</v>
      </c>
    </row>
    <row r="27" spans="1:4" ht="16" thickBot="1">
      <c r="A27" s="42">
        <v>18</v>
      </c>
      <c r="B27" s="67" t="s">
        <v>158</v>
      </c>
      <c r="C27" s="44"/>
      <c r="D27" s="45" t="s">
        <v>137</v>
      </c>
    </row>
    <row r="28" spans="1:4" ht="15">
      <c r="A28" s="42">
        <v>19</v>
      </c>
      <c r="B28" s="67" t="s">
        <v>159</v>
      </c>
      <c r="C28" s="70"/>
      <c r="D28" s="71" t="s">
        <v>160</v>
      </c>
    </row>
    <row r="29" spans="1:4" ht="16" thickBot="1">
      <c r="A29" s="42">
        <v>20</v>
      </c>
      <c r="B29" s="72" t="s">
        <v>161</v>
      </c>
      <c r="C29" s="73"/>
      <c r="D29" s="74" t="s">
        <v>160</v>
      </c>
    </row>
  </sheetData>
  <mergeCells count="3">
    <mergeCell ref="A1:D1"/>
    <mergeCell ref="A7:D7"/>
    <mergeCell ref="A24:D24"/>
  </mergeCells>
  <phoneticPr fontId="34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A34" sqref="A34"/>
    </sheetView>
  </sheetViews>
  <sheetFormatPr baseColWidth="10" defaultColWidth="8.83203125" defaultRowHeight="14"/>
  <cols>
    <col min="1" max="1" width="19.5" style="34" customWidth="1"/>
    <col min="2" max="2" width="12.6640625" customWidth="1"/>
    <col min="3" max="3" width="12.5" customWidth="1"/>
    <col min="4" max="4" width="29" customWidth="1"/>
  </cols>
  <sheetData>
    <row r="1" spans="1:4">
      <c r="A1" s="110" t="s">
        <v>105</v>
      </c>
      <c r="B1" s="110" t="s">
        <v>106</v>
      </c>
      <c r="C1" s="110"/>
      <c r="D1" s="110" t="s">
        <v>107</v>
      </c>
    </row>
    <row r="2" spans="1:4">
      <c r="A2" s="110"/>
      <c r="B2" s="20" t="s">
        <v>108</v>
      </c>
      <c r="C2" s="20" t="s">
        <v>109</v>
      </c>
      <c r="D2" s="110"/>
    </row>
    <row r="3" spans="1:4" ht="16">
      <c r="A3" s="21" t="s">
        <v>39</v>
      </c>
      <c r="B3" s="24" t="s">
        <v>111</v>
      </c>
      <c r="C3" s="22" t="s">
        <v>110</v>
      </c>
      <c r="D3" s="23"/>
    </row>
    <row r="4" spans="1:4" ht="16">
      <c r="A4" s="21" t="s">
        <v>13</v>
      </c>
      <c r="B4" s="24" t="s">
        <v>111</v>
      </c>
      <c r="C4" s="24" t="s">
        <v>110</v>
      </c>
      <c r="D4" s="23"/>
    </row>
    <row r="5" spans="1:4" ht="16">
      <c r="A5" s="25" t="s">
        <v>15</v>
      </c>
      <c r="B5" s="26"/>
      <c r="C5" s="26"/>
      <c r="D5" s="23"/>
    </row>
    <row r="6" spans="1:4" ht="16">
      <c r="A6" s="27" t="s">
        <v>112</v>
      </c>
      <c r="B6" s="26"/>
      <c r="C6" s="26" t="s">
        <v>113</v>
      </c>
      <c r="D6" s="23" t="s">
        <v>114</v>
      </c>
    </row>
    <row r="7" spans="1:4" ht="16">
      <c r="A7" s="25" t="s">
        <v>115</v>
      </c>
      <c r="B7" s="28"/>
      <c r="C7" s="28"/>
      <c r="D7" s="23"/>
    </row>
    <row r="8" spans="1:4" ht="16">
      <c r="A8" s="27" t="s">
        <v>116</v>
      </c>
      <c r="B8" s="29"/>
      <c r="C8" s="29" t="s">
        <v>110</v>
      </c>
      <c r="D8" s="23"/>
    </row>
    <row r="9" spans="1:4" ht="16">
      <c r="A9" s="30" t="s">
        <v>28</v>
      </c>
      <c r="B9" s="29"/>
      <c r="C9" s="29" t="s">
        <v>117</v>
      </c>
      <c r="D9" s="31" t="s">
        <v>118</v>
      </c>
    </row>
    <row r="10" spans="1:4" ht="16">
      <c r="A10" s="27" t="s">
        <v>119</v>
      </c>
      <c r="B10" s="29"/>
      <c r="C10" s="29" t="s">
        <v>110</v>
      </c>
      <c r="D10" s="23"/>
    </row>
    <row r="11" spans="1:4" ht="16">
      <c r="A11" s="25" t="s">
        <v>17</v>
      </c>
      <c r="B11" s="29"/>
      <c r="C11" s="29"/>
      <c r="D11" s="23"/>
    </row>
    <row r="12" spans="1:4" ht="16">
      <c r="A12" s="27" t="s">
        <v>29</v>
      </c>
      <c r="B12" s="29"/>
      <c r="C12" s="29" t="s">
        <v>110</v>
      </c>
      <c r="D12" s="23"/>
    </row>
    <row r="13" spans="1:4" ht="16">
      <c r="A13" s="21" t="s">
        <v>30</v>
      </c>
      <c r="B13" s="29" t="s">
        <v>120</v>
      </c>
      <c r="C13" s="29" t="s">
        <v>110</v>
      </c>
      <c r="D13" s="23"/>
    </row>
    <row r="14" spans="1:4" ht="16">
      <c r="A14" s="25" t="s">
        <v>31</v>
      </c>
      <c r="B14" s="29"/>
      <c r="C14" s="29"/>
      <c r="D14" s="23"/>
    </row>
    <row r="15" spans="1:4" ht="16">
      <c r="A15" s="27" t="s">
        <v>121</v>
      </c>
      <c r="B15" s="29"/>
      <c r="C15" s="29" t="s">
        <v>110</v>
      </c>
      <c r="D15" s="23"/>
    </row>
    <row r="16" spans="1:4" ht="16">
      <c r="A16" s="25" t="s">
        <v>32</v>
      </c>
      <c r="B16" s="29"/>
      <c r="C16" s="29"/>
      <c r="D16" s="23"/>
    </row>
    <row r="17" spans="1:4" ht="16">
      <c r="A17" s="27" t="s">
        <v>122</v>
      </c>
      <c r="B17" s="29"/>
      <c r="C17" s="29" t="s">
        <v>110</v>
      </c>
      <c r="D17" s="23"/>
    </row>
    <row r="18" spans="1:4" ht="16">
      <c r="A18" s="27" t="s">
        <v>33</v>
      </c>
      <c r="B18" s="29"/>
      <c r="C18" s="29" t="s">
        <v>110</v>
      </c>
      <c r="D18" s="23"/>
    </row>
    <row r="19" spans="1:4" ht="16">
      <c r="A19" s="25" t="s">
        <v>34</v>
      </c>
      <c r="B19" s="29"/>
      <c r="C19" s="29"/>
      <c r="D19" s="23"/>
    </row>
    <row r="20" spans="1:4" ht="16">
      <c r="A20" s="27" t="s">
        <v>35</v>
      </c>
      <c r="B20" s="29"/>
      <c r="C20" s="29" t="s">
        <v>110</v>
      </c>
      <c r="D20" s="23"/>
    </row>
    <row r="21" spans="1:4" ht="16">
      <c r="A21" s="30" t="s">
        <v>12</v>
      </c>
      <c r="B21" s="29"/>
      <c r="C21" s="29" t="s">
        <v>123</v>
      </c>
      <c r="D21" s="23"/>
    </row>
    <row r="22" spans="1:4" ht="16">
      <c r="A22" s="25" t="s">
        <v>18</v>
      </c>
      <c r="B22" s="29"/>
      <c r="C22" s="29"/>
      <c r="D22" s="23"/>
    </row>
    <row r="23" spans="1:4" ht="16">
      <c r="A23" s="25" t="s">
        <v>19</v>
      </c>
      <c r="B23" s="29"/>
      <c r="C23" s="29"/>
      <c r="D23" s="23"/>
    </row>
    <row r="24" spans="1:4" ht="16">
      <c r="A24" s="25" t="s">
        <v>20</v>
      </c>
      <c r="B24" s="29"/>
      <c r="C24" s="29"/>
      <c r="D24" s="23"/>
    </row>
    <row r="25" spans="1:4" ht="16">
      <c r="A25" s="25" t="s">
        <v>21</v>
      </c>
      <c r="B25" s="29"/>
      <c r="C25" s="29"/>
      <c r="D25" s="23"/>
    </row>
    <row r="26" spans="1:4" ht="16">
      <c r="A26" s="25" t="s">
        <v>22</v>
      </c>
      <c r="B26" s="29"/>
      <c r="C26" s="29"/>
      <c r="D26" s="23"/>
    </row>
    <row r="27" spans="1:4" ht="16">
      <c r="A27" s="25" t="s">
        <v>23</v>
      </c>
      <c r="B27" s="29"/>
      <c r="C27" s="29"/>
      <c r="D27" s="23"/>
    </row>
    <row r="28" spans="1:4" ht="16">
      <c r="A28" s="27" t="s">
        <v>24</v>
      </c>
      <c r="B28" s="29"/>
      <c r="C28" s="29" t="s">
        <v>110</v>
      </c>
      <c r="D28" s="23"/>
    </row>
    <row r="29" spans="1:4" ht="16">
      <c r="A29" s="27" t="s">
        <v>25</v>
      </c>
      <c r="B29" s="29"/>
      <c r="C29" s="29" t="s">
        <v>110</v>
      </c>
      <c r="D29" s="23"/>
    </row>
    <row r="30" spans="1:4" ht="16">
      <c r="A30" s="25" t="s">
        <v>26</v>
      </c>
      <c r="B30" s="29"/>
      <c r="C30" s="29"/>
      <c r="D30" s="23"/>
    </row>
    <row r="31" spans="1:4" ht="16">
      <c r="A31" s="25" t="s">
        <v>506</v>
      </c>
      <c r="B31" s="29"/>
      <c r="C31" s="29"/>
      <c r="D31" s="23"/>
    </row>
    <row r="32" spans="1:4" ht="16">
      <c r="A32" s="25" t="s">
        <v>27</v>
      </c>
      <c r="B32" s="29"/>
      <c r="C32" s="29"/>
      <c r="D32" s="23"/>
    </row>
    <row r="33" spans="1:4" ht="16">
      <c r="A33" s="25" t="s">
        <v>509</v>
      </c>
      <c r="B33" s="29"/>
      <c r="C33" s="29"/>
      <c r="D33" s="23"/>
    </row>
    <row r="34" spans="1:4" ht="16">
      <c r="A34" s="25" t="s">
        <v>507</v>
      </c>
      <c r="B34" s="29"/>
      <c r="C34" s="29"/>
      <c r="D34" s="23"/>
    </row>
    <row r="35" spans="1:4" ht="16">
      <c r="A35" s="25" t="s">
        <v>508</v>
      </c>
      <c r="B35" s="29"/>
      <c r="C35" s="29"/>
      <c r="D35" s="23"/>
    </row>
    <row r="36" spans="1:4" ht="16">
      <c r="A36" s="32" t="s">
        <v>124</v>
      </c>
      <c r="B36" s="33"/>
      <c r="C36" s="33" t="s">
        <v>110</v>
      </c>
      <c r="D36" s="23"/>
    </row>
    <row r="39" spans="1:4">
      <c r="A39" s="34" t="s">
        <v>125</v>
      </c>
    </row>
    <row r="40" spans="1:4" ht="15">
      <c r="A40" s="35"/>
      <c r="B40" t="s">
        <v>126</v>
      </c>
      <c r="C40" s="36" t="s">
        <v>127</v>
      </c>
    </row>
    <row r="41" spans="1:4" ht="15">
      <c r="A41" s="37"/>
      <c r="B41" t="s">
        <v>128</v>
      </c>
      <c r="C41" s="36" t="s">
        <v>109</v>
      </c>
    </row>
    <row r="42" spans="1:4" ht="15">
      <c r="A42" s="38"/>
      <c r="B42" t="s">
        <v>129</v>
      </c>
      <c r="C42" s="36" t="s">
        <v>130</v>
      </c>
    </row>
  </sheetData>
  <mergeCells count="3">
    <mergeCell ref="A1:A2"/>
    <mergeCell ref="B1:C1"/>
    <mergeCell ref="D1:D2"/>
  </mergeCells>
  <phoneticPr fontId="34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6"/>
  <sheetViews>
    <sheetView topLeftCell="F1" workbookViewId="0">
      <selection activeCell="O6" sqref="O6"/>
    </sheetView>
  </sheetViews>
  <sheetFormatPr baseColWidth="10" defaultColWidth="8.83203125" defaultRowHeight="14"/>
  <cols>
    <col min="1" max="1" width="31.6640625" hidden="1" customWidth="1"/>
    <col min="2" max="2" width="24.5" customWidth="1"/>
    <col min="6" max="6" width="12.83203125" customWidth="1"/>
    <col min="7" max="8" width="11.5" bestFit="1" customWidth="1"/>
    <col min="9" max="9" width="18.83203125" bestFit="1" customWidth="1"/>
    <col min="12" max="12" width="18.83203125" bestFit="1" customWidth="1"/>
    <col min="13" max="13" width="11" bestFit="1" customWidth="1"/>
  </cols>
  <sheetData>
    <row r="1" spans="1:15" s="19" customFormat="1">
      <c r="A1" s="76" t="s">
        <v>410</v>
      </c>
      <c r="B1" s="16" t="s">
        <v>30</v>
      </c>
      <c r="C1" s="76" t="s">
        <v>414</v>
      </c>
      <c r="D1" s="76" t="s">
        <v>415</v>
      </c>
      <c r="E1" s="76" t="s">
        <v>416</v>
      </c>
      <c r="F1" s="76" t="s">
        <v>417</v>
      </c>
      <c r="G1" s="76" t="s">
        <v>418</v>
      </c>
      <c r="H1" s="76" t="s">
        <v>419</v>
      </c>
      <c r="I1" s="80" t="s">
        <v>426</v>
      </c>
      <c r="J1" s="82" t="s">
        <v>475</v>
      </c>
      <c r="K1" s="84" t="s">
        <v>476</v>
      </c>
      <c r="L1" s="88" t="s">
        <v>477</v>
      </c>
      <c r="M1" s="97" t="s">
        <v>496</v>
      </c>
      <c r="N1" s="97" t="s">
        <v>500</v>
      </c>
      <c r="O1" s="97" t="s">
        <v>532</v>
      </c>
    </row>
    <row r="2" spans="1:15">
      <c r="A2" s="75" t="s">
        <v>403</v>
      </c>
      <c r="B2" s="87" t="s">
        <v>403</v>
      </c>
      <c r="C2" s="75" t="s">
        <v>411</v>
      </c>
      <c r="D2" s="75" t="s">
        <v>420</v>
      </c>
      <c r="E2" s="78" t="s">
        <v>479</v>
      </c>
      <c r="F2" s="87" t="s">
        <v>427</v>
      </c>
      <c r="G2" s="77" t="s">
        <v>483</v>
      </c>
      <c r="H2" s="75" t="s">
        <v>424</v>
      </c>
      <c r="I2" s="79" t="s">
        <v>431</v>
      </c>
      <c r="J2" s="81" t="s">
        <v>462</v>
      </c>
      <c r="K2" s="83" t="s">
        <v>466</v>
      </c>
      <c r="L2" s="87" t="s">
        <v>469</v>
      </c>
      <c r="M2" s="92" t="s">
        <v>497</v>
      </c>
      <c r="N2" s="92" t="s">
        <v>501</v>
      </c>
      <c r="O2" s="92" t="s">
        <v>533</v>
      </c>
    </row>
    <row r="3" spans="1:15" ht="17.25" customHeight="1">
      <c r="A3" s="75" t="s">
        <v>404</v>
      </c>
      <c r="B3" s="87" t="s">
        <v>404</v>
      </c>
      <c r="C3" s="75" t="s">
        <v>412</v>
      </c>
      <c r="D3" s="75" t="s">
        <v>421</v>
      </c>
      <c r="E3" s="78" t="s">
        <v>480</v>
      </c>
      <c r="F3" s="87" t="s">
        <v>428</v>
      </c>
      <c r="G3" s="77" t="s">
        <v>484</v>
      </c>
      <c r="H3" s="75" t="s">
        <v>425</v>
      </c>
      <c r="I3" s="79" t="s">
        <v>432</v>
      </c>
      <c r="J3" s="81" t="s">
        <v>463</v>
      </c>
      <c r="K3" s="83" t="s">
        <v>467</v>
      </c>
      <c r="L3" s="87" t="s">
        <v>470</v>
      </c>
      <c r="M3" s="92" t="s">
        <v>498</v>
      </c>
      <c r="N3" s="92" t="s">
        <v>502</v>
      </c>
      <c r="O3" s="92" t="s">
        <v>534</v>
      </c>
    </row>
    <row r="4" spans="1:15">
      <c r="A4" s="75" t="s">
        <v>405</v>
      </c>
      <c r="B4" s="87" t="s">
        <v>405</v>
      </c>
      <c r="C4" s="75" t="s">
        <v>413</v>
      </c>
      <c r="D4" s="75" t="s">
        <v>422</v>
      </c>
      <c r="E4" s="78" t="s">
        <v>481</v>
      </c>
      <c r="F4" s="87" t="s">
        <v>429</v>
      </c>
      <c r="G4" s="92" t="s">
        <v>493</v>
      </c>
      <c r="H4" s="92" t="s">
        <v>493</v>
      </c>
      <c r="I4" s="79" t="s">
        <v>433</v>
      </c>
      <c r="J4" s="81" t="s">
        <v>464</v>
      </c>
      <c r="K4" s="83" t="s">
        <v>468</v>
      </c>
      <c r="L4" s="87" t="s">
        <v>471</v>
      </c>
      <c r="M4" s="92" t="s">
        <v>499</v>
      </c>
      <c r="O4" s="92" t="s">
        <v>535</v>
      </c>
    </row>
    <row r="5" spans="1:15">
      <c r="A5" s="75" t="s">
        <v>406</v>
      </c>
      <c r="B5" s="87" t="s">
        <v>406</v>
      </c>
      <c r="C5" s="92" t="s">
        <v>493</v>
      </c>
      <c r="D5" s="75" t="s">
        <v>423</v>
      </c>
      <c r="E5" s="78" t="s">
        <v>482</v>
      </c>
      <c r="F5" s="87" t="s">
        <v>430</v>
      </c>
      <c r="I5" s="79" t="s">
        <v>434</v>
      </c>
      <c r="J5" s="81" t="s">
        <v>465</v>
      </c>
      <c r="K5" s="92" t="s">
        <v>493</v>
      </c>
      <c r="L5" s="87" t="s">
        <v>472</v>
      </c>
      <c r="M5" s="92" t="s">
        <v>464</v>
      </c>
      <c r="O5" s="92" t="s">
        <v>493</v>
      </c>
    </row>
    <row r="6" spans="1:15">
      <c r="A6" s="92" t="s">
        <v>488</v>
      </c>
      <c r="B6" s="92" t="s">
        <v>488</v>
      </c>
      <c r="D6" s="92" t="s">
        <v>493</v>
      </c>
      <c r="E6" s="92" t="s">
        <v>493</v>
      </c>
      <c r="F6" s="92" t="s">
        <v>493</v>
      </c>
      <c r="I6" s="79" t="s">
        <v>435</v>
      </c>
      <c r="J6" s="92" t="s">
        <v>493</v>
      </c>
      <c r="L6" s="87" t="s">
        <v>473</v>
      </c>
      <c r="M6" s="92" t="s">
        <v>463</v>
      </c>
    </row>
    <row r="7" spans="1:15">
      <c r="A7" s="92" t="s">
        <v>489</v>
      </c>
      <c r="B7" s="92" t="s">
        <v>489</v>
      </c>
      <c r="I7" s="79" t="s">
        <v>436</v>
      </c>
      <c r="L7" s="87" t="s">
        <v>474</v>
      </c>
      <c r="M7" s="92"/>
    </row>
    <row r="8" spans="1:15">
      <c r="A8" s="92" t="s">
        <v>490</v>
      </c>
      <c r="B8" s="92" t="s">
        <v>490</v>
      </c>
      <c r="I8" s="79" t="s">
        <v>437</v>
      </c>
      <c r="L8" s="92" t="s">
        <v>493</v>
      </c>
    </row>
    <row r="9" spans="1:15">
      <c r="A9" s="75" t="s">
        <v>407</v>
      </c>
      <c r="B9" s="87" t="s">
        <v>407</v>
      </c>
      <c r="I9" s="79" t="s">
        <v>438</v>
      </c>
    </row>
    <row r="10" spans="1:15">
      <c r="A10" s="75" t="s">
        <v>408</v>
      </c>
      <c r="B10" s="87" t="s">
        <v>408</v>
      </c>
      <c r="I10" s="79" t="s">
        <v>439</v>
      </c>
    </row>
    <row r="11" spans="1:15">
      <c r="A11" s="93" t="s">
        <v>487</v>
      </c>
      <c r="B11" s="93" t="s">
        <v>487</v>
      </c>
      <c r="H11" s="87"/>
      <c r="I11" s="79" t="s">
        <v>440</v>
      </c>
    </row>
    <row r="12" spans="1:15">
      <c r="A12" s="93" t="s">
        <v>491</v>
      </c>
      <c r="B12" s="93" t="s">
        <v>491</v>
      </c>
      <c r="H12" s="87"/>
      <c r="I12" s="79" t="s">
        <v>441</v>
      </c>
    </row>
    <row r="13" spans="1:15">
      <c r="A13" s="93" t="s">
        <v>492</v>
      </c>
      <c r="B13" s="93" t="s">
        <v>492</v>
      </c>
      <c r="H13" s="87"/>
      <c r="I13" s="79" t="s">
        <v>442</v>
      </c>
    </row>
    <row r="14" spans="1:15">
      <c r="A14" s="75" t="s">
        <v>409</v>
      </c>
      <c r="B14" s="87" t="s">
        <v>409</v>
      </c>
      <c r="H14" s="87"/>
      <c r="I14" s="79" t="s">
        <v>443</v>
      </c>
    </row>
    <row r="15" spans="1:15">
      <c r="B15" s="92"/>
      <c r="H15" s="87"/>
      <c r="I15" s="79" t="s">
        <v>444</v>
      </c>
    </row>
    <row r="16" spans="1:15">
      <c r="B16" s="87"/>
      <c r="H16" s="87"/>
      <c r="I16" s="79" t="s">
        <v>445</v>
      </c>
    </row>
    <row r="17" spans="2:9">
      <c r="B17" s="87"/>
      <c r="H17" s="87"/>
      <c r="I17" s="79" t="s">
        <v>446</v>
      </c>
    </row>
    <row r="18" spans="2:9">
      <c r="B18" s="87"/>
      <c r="H18" s="87"/>
      <c r="I18" s="79" t="s">
        <v>447</v>
      </c>
    </row>
    <row r="19" spans="2:9">
      <c r="B19" s="87"/>
      <c r="H19" s="87"/>
      <c r="I19" s="79" t="s">
        <v>448</v>
      </c>
    </row>
    <row r="20" spans="2:9">
      <c r="B20" s="87"/>
      <c r="H20" s="87"/>
      <c r="I20" s="79" t="s">
        <v>449</v>
      </c>
    </row>
    <row r="21" spans="2:9">
      <c r="B21" s="87"/>
      <c r="H21" s="87"/>
      <c r="I21" s="79" t="s">
        <v>450</v>
      </c>
    </row>
    <row r="22" spans="2:9">
      <c r="B22" s="87"/>
      <c r="H22" s="87"/>
      <c r="I22" s="79" t="s">
        <v>451</v>
      </c>
    </row>
    <row r="23" spans="2:9">
      <c r="B23" s="87"/>
      <c r="H23" s="87"/>
      <c r="I23" s="79" t="s">
        <v>452</v>
      </c>
    </row>
    <row r="24" spans="2:9">
      <c r="B24" s="87"/>
      <c r="H24" s="87"/>
      <c r="I24" s="79" t="s">
        <v>453</v>
      </c>
    </row>
    <row r="25" spans="2:9">
      <c r="B25" s="87"/>
      <c r="H25" s="87"/>
      <c r="I25" s="79" t="s">
        <v>454</v>
      </c>
    </row>
    <row r="26" spans="2:9">
      <c r="H26" s="87"/>
      <c r="I26" s="79" t="s">
        <v>455</v>
      </c>
    </row>
    <row r="27" spans="2:9">
      <c r="H27" s="87"/>
      <c r="I27" s="79" t="s">
        <v>456</v>
      </c>
    </row>
    <row r="28" spans="2:9">
      <c r="H28" s="87"/>
      <c r="I28" s="79" t="s">
        <v>214</v>
      </c>
    </row>
    <row r="29" spans="2:9">
      <c r="H29" s="87"/>
      <c r="I29" s="79" t="s">
        <v>457</v>
      </c>
    </row>
    <row r="30" spans="2:9">
      <c r="H30" s="87"/>
      <c r="I30" s="79" t="s">
        <v>458</v>
      </c>
    </row>
    <row r="31" spans="2:9">
      <c r="H31" s="87"/>
      <c r="I31" s="79" t="s">
        <v>459</v>
      </c>
    </row>
    <row r="32" spans="2:9">
      <c r="H32" s="87"/>
      <c r="I32" s="79" t="s">
        <v>460</v>
      </c>
    </row>
    <row r="33" spans="8:9">
      <c r="H33" s="87"/>
      <c r="I33" s="79" t="s">
        <v>461</v>
      </c>
    </row>
    <row r="34" spans="8:9">
      <c r="H34" s="87"/>
      <c r="I34" s="91" t="s">
        <v>485</v>
      </c>
    </row>
    <row r="35" spans="8:9">
      <c r="I35" s="91" t="s">
        <v>486</v>
      </c>
    </row>
    <row r="36" spans="8:9">
      <c r="I36" s="92" t="s">
        <v>493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6"/>
  <sheetViews>
    <sheetView workbookViewId="0">
      <selection sqref="A1:A26"/>
    </sheetView>
  </sheetViews>
  <sheetFormatPr baseColWidth="10" defaultColWidth="8.83203125" defaultRowHeight="14"/>
  <sheetData>
    <row r="1" spans="1:1">
      <c r="A1" s="16" t="s">
        <v>30</v>
      </c>
    </row>
    <row r="2" spans="1:1">
      <c r="A2" s="87" t="s">
        <v>80</v>
      </c>
    </row>
    <row r="3" spans="1:1">
      <c r="A3" s="87" t="s">
        <v>81</v>
      </c>
    </row>
    <row r="4" spans="1:1">
      <c r="A4" s="87" t="s">
        <v>82</v>
      </c>
    </row>
    <row r="5" spans="1:1">
      <c r="A5" s="87" t="s">
        <v>83</v>
      </c>
    </row>
    <row r="6" spans="1:1">
      <c r="A6" s="87" t="s">
        <v>84</v>
      </c>
    </row>
    <row r="7" spans="1:1">
      <c r="A7" s="87" t="s">
        <v>85</v>
      </c>
    </row>
    <row r="8" spans="1:1">
      <c r="A8" s="87" t="s">
        <v>86</v>
      </c>
    </row>
    <row r="9" spans="1:1">
      <c r="A9" s="87" t="s">
        <v>87</v>
      </c>
    </row>
    <row r="10" spans="1:1">
      <c r="A10" s="87" t="s">
        <v>88</v>
      </c>
    </row>
    <row r="11" spans="1:1">
      <c r="A11" s="87" t="s">
        <v>89</v>
      </c>
    </row>
    <row r="12" spans="1:1">
      <c r="A12" s="87" t="s">
        <v>90</v>
      </c>
    </row>
    <row r="13" spans="1:1">
      <c r="A13" s="87" t="s">
        <v>91</v>
      </c>
    </row>
    <row r="14" spans="1:1">
      <c r="A14" s="87" t="s">
        <v>92</v>
      </c>
    </row>
    <row r="15" spans="1:1">
      <c r="A15" s="87" t="s">
        <v>93</v>
      </c>
    </row>
    <row r="16" spans="1:1">
      <c r="A16" s="87" t="s">
        <v>94</v>
      </c>
    </row>
    <row r="17" spans="1:1">
      <c r="A17" s="87" t="s">
        <v>95</v>
      </c>
    </row>
    <row r="18" spans="1:1">
      <c r="A18" s="87" t="s">
        <v>96</v>
      </c>
    </row>
    <row r="19" spans="1:1">
      <c r="A19" s="87" t="s">
        <v>97</v>
      </c>
    </row>
    <row r="20" spans="1:1">
      <c r="A20" s="87" t="s">
        <v>98</v>
      </c>
    </row>
    <row r="21" spans="1:1">
      <c r="A21" s="87" t="s">
        <v>99</v>
      </c>
    </row>
    <row r="22" spans="1:1">
      <c r="A22" s="87" t="s">
        <v>101</v>
      </c>
    </row>
    <row r="23" spans="1:1">
      <c r="A23" s="87" t="s">
        <v>102</v>
      </c>
    </row>
    <row r="24" spans="1:1">
      <c r="A24" s="87" t="s">
        <v>103</v>
      </c>
    </row>
    <row r="25" spans="1:1">
      <c r="A25" s="87" t="s">
        <v>100</v>
      </c>
    </row>
    <row r="26" spans="1:1">
      <c r="A26" s="85"/>
    </row>
  </sheetData>
  <phoneticPr fontId="3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1"/>
  <sheetViews>
    <sheetView workbookViewId="0">
      <selection activeCell="A9" sqref="A9"/>
    </sheetView>
  </sheetViews>
  <sheetFormatPr baseColWidth="10" defaultColWidth="8.83203125" defaultRowHeight="14"/>
  <cols>
    <col min="1" max="3" width="18.5" style="85" bestFit="1" customWidth="1"/>
    <col min="4" max="4" width="17" bestFit="1" customWidth="1"/>
    <col min="5" max="5" width="19.83203125" bestFit="1" customWidth="1"/>
    <col min="6" max="6" width="17.83203125" bestFit="1" customWidth="1"/>
    <col min="7" max="7" width="25.1640625" bestFit="1" customWidth="1"/>
    <col min="8" max="8" width="19.83203125" bestFit="1" customWidth="1"/>
    <col min="9" max="9" width="23.5" bestFit="1" customWidth="1"/>
    <col min="10" max="10" width="27.1640625" bestFit="1" customWidth="1"/>
    <col min="11" max="12" width="19.83203125" bestFit="1" customWidth="1"/>
    <col min="13" max="13" width="16.1640625" bestFit="1" customWidth="1"/>
    <col min="14" max="14" width="22.5" bestFit="1" customWidth="1"/>
    <col min="15" max="15" width="16.5" bestFit="1" customWidth="1"/>
    <col min="16" max="16" width="29.83203125" bestFit="1" customWidth="1"/>
    <col min="17" max="17" width="33.5" bestFit="1" customWidth="1"/>
    <col min="18" max="18" width="36.1640625" bestFit="1" customWidth="1"/>
    <col min="19" max="20" width="19.83203125" bestFit="1" customWidth="1"/>
    <col min="21" max="21" width="21.5" bestFit="1" customWidth="1"/>
    <col min="22" max="22" width="12.5" bestFit="1" customWidth="1"/>
    <col min="23" max="23" width="21.1640625" bestFit="1" customWidth="1"/>
    <col min="24" max="24" width="27.5" bestFit="1" customWidth="1"/>
    <col min="25" max="25" width="34.6640625" bestFit="1" customWidth="1"/>
    <col min="26" max="26" width="20.1640625" bestFit="1" customWidth="1"/>
    <col min="27" max="27" width="17" bestFit="1" customWidth="1"/>
    <col min="28" max="28" width="25.1640625" bestFit="1" customWidth="1"/>
    <col min="29" max="29" width="19.83203125" bestFit="1" customWidth="1"/>
    <col min="30" max="31" width="25.1640625" bestFit="1" customWidth="1"/>
    <col min="32" max="32" width="21.5" bestFit="1" customWidth="1"/>
    <col min="33" max="33" width="34.33203125" bestFit="1" customWidth="1"/>
    <col min="34" max="34" width="19.83203125" bestFit="1" customWidth="1"/>
    <col min="35" max="35" width="21.5" bestFit="1" customWidth="1"/>
    <col min="36" max="36" width="23.5" bestFit="1" customWidth="1"/>
    <col min="37" max="37" width="32.5" bestFit="1" customWidth="1"/>
    <col min="38" max="39" width="22.5" bestFit="1" customWidth="1"/>
    <col min="40" max="40" width="28.83203125" bestFit="1" customWidth="1"/>
    <col min="41" max="41" width="23.5" bestFit="1" customWidth="1"/>
    <col min="42" max="42" width="24.1640625" bestFit="1" customWidth="1"/>
    <col min="43" max="43" width="12.5" bestFit="1" customWidth="1"/>
  </cols>
  <sheetData>
    <row r="1" spans="1:44">
      <c r="A1" s="85" t="s">
        <v>510</v>
      </c>
      <c r="B1" s="85" t="s">
        <v>511</v>
      </c>
      <c r="C1" s="85" t="s">
        <v>512</v>
      </c>
      <c r="D1" t="s">
        <v>401</v>
      </c>
      <c r="E1" t="s">
        <v>402</v>
      </c>
      <c r="F1" t="s">
        <v>40</v>
      </c>
      <c r="G1" t="s">
        <v>41</v>
      </c>
      <c r="H1" t="s">
        <v>42</v>
      </c>
      <c r="I1" t="s">
        <v>43</v>
      </c>
      <c r="J1" t="s">
        <v>478</v>
      </c>
      <c r="K1" t="s">
        <v>44</v>
      </c>
      <c r="L1" t="s">
        <v>45</v>
      </c>
      <c r="M1" t="s">
        <v>46</v>
      </c>
      <c r="N1" t="s">
        <v>47</v>
      </c>
      <c r="O1" t="s">
        <v>494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t="s">
        <v>55</v>
      </c>
      <c r="X1" t="s">
        <v>56</v>
      </c>
      <c r="Y1" t="s">
        <v>57</v>
      </c>
      <c r="Z1" t="s">
        <v>495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493</v>
      </c>
    </row>
    <row r="2" spans="1:44">
      <c r="A2" s="85" t="s">
        <v>513</v>
      </c>
      <c r="B2" s="85" t="s">
        <v>514</v>
      </c>
      <c r="C2" s="85" t="s">
        <v>515</v>
      </c>
      <c r="D2" s="75" t="s">
        <v>163</v>
      </c>
      <c r="E2" s="75" t="s">
        <v>167</v>
      </c>
      <c r="F2" s="75" t="s">
        <v>173</v>
      </c>
      <c r="G2" s="75" t="s">
        <v>179</v>
      </c>
      <c r="H2" s="75" t="s">
        <v>186</v>
      </c>
      <c r="I2" s="75" t="s">
        <v>190</v>
      </c>
      <c r="J2" s="75" t="s">
        <v>194</v>
      </c>
      <c r="K2" s="75" t="s">
        <v>202</v>
      </c>
      <c r="L2" s="75" t="s">
        <v>208</v>
      </c>
      <c r="M2" s="92" t="s">
        <v>493</v>
      </c>
      <c r="N2" s="75" t="s">
        <v>210</v>
      </c>
      <c r="O2" s="75" t="s">
        <v>214</v>
      </c>
      <c r="P2" s="75" t="s">
        <v>221</v>
      </c>
      <c r="Q2" s="75" t="s">
        <v>240</v>
      </c>
      <c r="R2" s="75" t="s">
        <v>248</v>
      </c>
      <c r="S2" s="75" t="s">
        <v>255</v>
      </c>
      <c r="T2" s="75" t="s">
        <v>261</v>
      </c>
      <c r="U2" s="75" t="s">
        <v>266</v>
      </c>
      <c r="V2" s="75" t="s">
        <v>275</v>
      </c>
      <c r="W2" s="75" t="s">
        <v>278</v>
      </c>
      <c r="X2" t="s">
        <v>279</v>
      </c>
      <c r="Y2" s="75" t="s">
        <v>283</v>
      </c>
      <c r="Z2" s="75" t="s">
        <v>290</v>
      </c>
      <c r="AA2" s="75" t="s">
        <v>292</v>
      </c>
      <c r="AB2" s="75" t="s">
        <v>296</v>
      </c>
      <c r="AC2" s="75" t="s">
        <v>298</v>
      </c>
      <c r="AD2" s="75" t="s">
        <v>307</v>
      </c>
      <c r="AE2" s="75" t="s">
        <v>311</v>
      </c>
      <c r="AF2" s="75" t="s">
        <v>318</v>
      </c>
      <c r="AG2" s="75" t="s">
        <v>323</v>
      </c>
      <c r="AH2" s="75" t="s">
        <v>336</v>
      </c>
      <c r="AI2" s="75" t="s">
        <v>344</v>
      </c>
      <c r="AJ2" s="75" t="s">
        <v>347</v>
      </c>
      <c r="AK2" s="75" t="s">
        <v>355</v>
      </c>
      <c r="AL2" s="75" t="s">
        <v>360</v>
      </c>
      <c r="AM2" s="75" t="s">
        <v>376</v>
      </c>
      <c r="AN2" s="75" t="s">
        <v>380</v>
      </c>
      <c r="AO2" s="75" t="s">
        <v>384</v>
      </c>
      <c r="AP2" s="75" t="s">
        <v>393</v>
      </c>
      <c r="AQ2" s="75" t="s">
        <v>398</v>
      </c>
    </row>
    <row r="3" spans="1:44">
      <c r="A3" s="85" t="s">
        <v>516</v>
      </c>
      <c r="B3" s="85" t="s">
        <v>522</v>
      </c>
      <c r="C3" s="85" t="s">
        <v>527</v>
      </c>
      <c r="D3" s="75" t="s">
        <v>164</v>
      </c>
      <c r="E3" s="75" t="s">
        <v>168</v>
      </c>
      <c r="F3" s="75" t="s">
        <v>174</v>
      </c>
      <c r="G3" s="75" t="s">
        <v>180</v>
      </c>
      <c r="H3" s="75" t="s">
        <v>187</v>
      </c>
      <c r="I3" s="75" t="s">
        <v>191</v>
      </c>
      <c r="J3" s="75" t="s">
        <v>195</v>
      </c>
      <c r="K3" s="75" t="s">
        <v>203</v>
      </c>
      <c r="L3" s="75" t="s">
        <v>209</v>
      </c>
      <c r="N3" s="75" t="s">
        <v>211</v>
      </c>
      <c r="O3" s="75" t="s">
        <v>215</v>
      </c>
      <c r="P3" s="75" t="s">
        <v>222</v>
      </c>
      <c r="Q3" s="75" t="s">
        <v>241</v>
      </c>
      <c r="R3" s="75" t="s">
        <v>249</v>
      </c>
      <c r="S3" s="75" t="s">
        <v>256</v>
      </c>
      <c r="T3" s="75" t="s">
        <v>262</v>
      </c>
      <c r="U3" s="75" t="s">
        <v>267</v>
      </c>
      <c r="V3" s="75" t="s">
        <v>276</v>
      </c>
      <c r="W3" s="92" t="s">
        <v>493</v>
      </c>
      <c r="X3" t="s">
        <v>280</v>
      </c>
      <c r="Y3" s="75" t="s">
        <v>284</v>
      </c>
      <c r="Z3" s="75" t="s">
        <v>291</v>
      </c>
      <c r="AA3" s="75" t="s">
        <v>293</v>
      </c>
      <c r="AB3" s="75" t="s">
        <v>297</v>
      </c>
      <c r="AC3" s="75" t="s">
        <v>299</v>
      </c>
      <c r="AD3" s="75" t="s">
        <v>308</v>
      </c>
      <c r="AE3" s="75" t="s">
        <v>312</v>
      </c>
      <c r="AF3" s="75" t="s">
        <v>319</v>
      </c>
      <c r="AG3" s="75" t="s">
        <v>324</v>
      </c>
      <c r="AH3" s="75" t="s">
        <v>337</v>
      </c>
      <c r="AI3" s="75" t="s">
        <v>345</v>
      </c>
      <c r="AJ3" s="75" t="s">
        <v>348</v>
      </c>
      <c r="AK3" s="75" t="s">
        <v>356</v>
      </c>
      <c r="AL3" s="75" t="s">
        <v>361</v>
      </c>
      <c r="AM3" s="75" t="s">
        <v>377</v>
      </c>
      <c r="AN3" s="75" t="s">
        <v>381</v>
      </c>
      <c r="AO3" s="75" t="s">
        <v>385</v>
      </c>
      <c r="AP3" s="75" t="s">
        <v>394</v>
      </c>
      <c r="AQ3" s="75" t="s">
        <v>399</v>
      </c>
    </row>
    <row r="4" spans="1:44">
      <c r="A4" s="85" t="s">
        <v>517</v>
      </c>
      <c r="B4" s="85" t="s">
        <v>523</v>
      </c>
      <c r="C4" s="85" t="s">
        <v>528</v>
      </c>
      <c r="D4" s="75" t="s">
        <v>165</v>
      </c>
      <c r="E4" s="75" t="s">
        <v>169</v>
      </c>
      <c r="F4" s="75" t="s">
        <v>175</v>
      </c>
      <c r="G4" s="75" t="s">
        <v>181</v>
      </c>
      <c r="H4" s="75" t="s">
        <v>188</v>
      </c>
      <c r="I4" s="75" t="s">
        <v>192</v>
      </c>
      <c r="J4" s="75" t="s">
        <v>196</v>
      </c>
      <c r="K4" s="75" t="s">
        <v>204</v>
      </c>
      <c r="L4" s="92" t="s">
        <v>493</v>
      </c>
      <c r="N4" s="75" t="s">
        <v>212</v>
      </c>
      <c r="O4" s="75" t="s">
        <v>216</v>
      </c>
      <c r="P4" s="75" t="s">
        <v>223</v>
      </c>
      <c r="Q4" s="75" t="s">
        <v>242</v>
      </c>
      <c r="R4" s="75" t="s">
        <v>250</v>
      </c>
      <c r="S4" s="75" t="s">
        <v>257</v>
      </c>
      <c r="T4" s="75" t="s">
        <v>263</v>
      </c>
      <c r="U4" s="75" t="s">
        <v>268</v>
      </c>
      <c r="V4" s="75" t="s">
        <v>277</v>
      </c>
      <c r="X4" t="s">
        <v>281</v>
      </c>
      <c r="Y4" t="s">
        <v>285</v>
      </c>
      <c r="Z4" t="s">
        <v>493</v>
      </c>
      <c r="AA4" s="75" t="s">
        <v>294</v>
      </c>
      <c r="AB4" t="s">
        <v>493</v>
      </c>
      <c r="AC4" s="75" t="s">
        <v>300</v>
      </c>
      <c r="AD4" s="75" t="s">
        <v>309</v>
      </c>
      <c r="AE4" s="75" t="s">
        <v>313</v>
      </c>
      <c r="AF4" s="75" t="s">
        <v>320</v>
      </c>
      <c r="AG4" s="75" t="s">
        <v>325</v>
      </c>
      <c r="AH4" s="75" t="s">
        <v>338</v>
      </c>
      <c r="AI4" s="75" t="s">
        <v>346</v>
      </c>
      <c r="AJ4" s="75" t="s">
        <v>349</v>
      </c>
      <c r="AK4" s="75" t="s">
        <v>357</v>
      </c>
      <c r="AL4" s="75" t="s">
        <v>362</v>
      </c>
      <c r="AM4" s="75" t="s">
        <v>378</v>
      </c>
      <c r="AN4" s="75" t="s">
        <v>382</v>
      </c>
      <c r="AO4" s="75" t="s">
        <v>386</v>
      </c>
      <c r="AP4" s="75" t="s">
        <v>395</v>
      </c>
      <c r="AQ4" s="75" t="s">
        <v>400</v>
      </c>
    </row>
    <row r="5" spans="1:44">
      <c r="A5" s="85" t="s">
        <v>518</v>
      </c>
      <c r="B5" s="85" t="s">
        <v>524</v>
      </c>
      <c r="C5" s="85" t="s">
        <v>529</v>
      </c>
      <c r="D5" s="75" t="s">
        <v>166</v>
      </c>
      <c r="E5" s="75" t="s">
        <v>170</v>
      </c>
      <c r="F5" s="75" t="s">
        <v>176</v>
      </c>
      <c r="G5" s="75" t="s">
        <v>182</v>
      </c>
      <c r="H5" s="75" t="s">
        <v>189</v>
      </c>
      <c r="I5" s="75" t="s">
        <v>193</v>
      </c>
      <c r="J5" s="75" t="s">
        <v>197</v>
      </c>
      <c r="K5" s="75" t="s">
        <v>205</v>
      </c>
      <c r="N5" s="75" t="s">
        <v>213</v>
      </c>
      <c r="O5" s="75" t="s">
        <v>217</v>
      </c>
      <c r="P5" s="75" t="s">
        <v>224</v>
      </c>
      <c r="Q5" s="75" t="s">
        <v>243</v>
      </c>
      <c r="R5" s="75" t="s">
        <v>251</v>
      </c>
      <c r="S5" s="75" t="s">
        <v>258</v>
      </c>
      <c r="T5" s="75" t="s">
        <v>264</v>
      </c>
      <c r="U5" s="75" t="s">
        <v>269</v>
      </c>
      <c r="V5" s="92" t="s">
        <v>493</v>
      </c>
      <c r="X5" t="s">
        <v>282</v>
      </c>
      <c r="Y5" t="s">
        <v>286</v>
      </c>
      <c r="AA5" s="75" t="s">
        <v>295</v>
      </c>
      <c r="AC5" s="75" t="s">
        <v>301</v>
      </c>
      <c r="AD5" s="75" t="s">
        <v>310</v>
      </c>
      <c r="AE5" s="75" t="s">
        <v>314</v>
      </c>
      <c r="AF5" s="75" t="s">
        <v>321</v>
      </c>
      <c r="AG5" s="75" t="s">
        <v>326</v>
      </c>
      <c r="AH5" s="75" t="s">
        <v>339</v>
      </c>
      <c r="AI5" s="92" t="s">
        <v>493</v>
      </c>
      <c r="AJ5" s="75" t="s">
        <v>350</v>
      </c>
      <c r="AK5" s="75" t="s">
        <v>358</v>
      </c>
      <c r="AL5" s="75" t="s">
        <v>363</v>
      </c>
      <c r="AM5" s="75" t="s">
        <v>379</v>
      </c>
      <c r="AN5" s="75" t="s">
        <v>383</v>
      </c>
      <c r="AO5" s="75" t="s">
        <v>387</v>
      </c>
      <c r="AP5" s="75" t="s">
        <v>396</v>
      </c>
      <c r="AQ5" s="92" t="s">
        <v>493</v>
      </c>
    </row>
    <row r="6" spans="1:44">
      <c r="A6" s="85" t="s">
        <v>519</v>
      </c>
      <c r="B6" s="85" t="s">
        <v>525</v>
      </c>
      <c r="C6" s="85" t="s">
        <v>530</v>
      </c>
      <c r="D6" s="75" t="s">
        <v>162</v>
      </c>
      <c r="E6" s="75" t="s">
        <v>171</v>
      </c>
      <c r="F6" s="75" t="s">
        <v>177</v>
      </c>
      <c r="G6" s="75" t="s">
        <v>183</v>
      </c>
      <c r="H6" s="92" t="s">
        <v>493</v>
      </c>
      <c r="I6" s="92" t="s">
        <v>493</v>
      </c>
      <c r="J6" s="75" t="s">
        <v>198</v>
      </c>
      <c r="K6" s="75" t="s">
        <v>206</v>
      </c>
      <c r="N6" s="92" t="s">
        <v>493</v>
      </c>
      <c r="O6" s="75" t="s">
        <v>218</v>
      </c>
      <c r="P6" s="75" t="s">
        <v>225</v>
      </c>
      <c r="Q6" s="75" t="s">
        <v>244</v>
      </c>
      <c r="R6" s="75" t="s">
        <v>252</v>
      </c>
      <c r="S6" s="75" t="s">
        <v>259</v>
      </c>
      <c r="T6" s="75" t="s">
        <v>265</v>
      </c>
      <c r="U6" s="75" t="s">
        <v>270</v>
      </c>
      <c r="X6" s="92" t="s">
        <v>493</v>
      </c>
      <c r="Y6" t="s">
        <v>287</v>
      </c>
      <c r="AA6" s="92" t="s">
        <v>493</v>
      </c>
      <c r="AC6" s="75" t="s">
        <v>302</v>
      </c>
      <c r="AD6" s="92" t="s">
        <v>493</v>
      </c>
      <c r="AE6" s="75" t="s">
        <v>315</v>
      </c>
      <c r="AF6" s="75" t="s">
        <v>322</v>
      </c>
      <c r="AG6" s="75" t="s">
        <v>327</v>
      </c>
      <c r="AH6" s="75" t="s">
        <v>340</v>
      </c>
      <c r="AJ6" s="75" t="s">
        <v>351</v>
      </c>
      <c r="AK6" s="75" t="s">
        <v>359</v>
      </c>
      <c r="AL6" s="75" t="s">
        <v>364</v>
      </c>
      <c r="AM6" s="92" t="s">
        <v>493</v>
      </c>
      <c r="AN6" s="92" t="s">
        <v>493</v>
      </c>
      <c r="AO6" s="75" t="s">
        <v>388</v>
      </c>
      <c r="AP6" s="75" t="s">
        <v>397</v>
      </c>
    </row>
    <row r="7" spans="1:44">
      <c r="A7" s="85" t="s">
        <v>520</v>
      </c>
      <c r="B7" s="85" t="s">
        <v>526</v>
      </c>
      <c r="C7" s="85" t="s">
        <v>493</v>
      </c>
      <c r="D7" s="92" t="s">
        <v>493</v>
      </c>
      <c r="E7" s="75" t="s">
        <v>172</v>
      </c>
      <c r="F7" s="75" t="s">
        <v>178</v>
      </c>
      <c r="G7" s="75" t="s">
        <v>184</v>
      </c>
      <c r="J7" s="75" t="s">
        <v>199</v>
      </c>
      <c r="K7" s="75" t="s">
        <v>207</v>
      </c>
      <c r="O7" s="75" t="s">
        <v>219</v>
      </c>
      <c r="P7" s="75" t="s">
        <v>226</v>
      </c>
      <c r="Q7" s="75" t="s">
        <v>245</v>
      </c>
      <c r="R7" s="75" t="s">
        <v>253</v>
      </c>
      <c r="S7" s="75" t="s">
        <v>260</v>
      </c>
      <c r="T7" s="92" t="s">
        <v>493</v>
      </c>
      <c r="U7" s="75" t="s">
        <v>271</v>
      </c>
      <c r="Y7" s="75" t="s">
        <v>288</v>
      </c>
      <c r="AC7" s="75" t="s">
        <v>303</v>
      </c>
      <c r="AE7" s="75" t="s">
        <v>316</v>
      </c>
      <c r="AF7" s="92" t="s">
        <v>493</v>
      </c>
      <c r="AG7" s="75" t="s">
        <v>328</v>
      </c>
      <c r="AH7" s="75" t="s">
        <v>341</v>
      </c>
      <c r="AJ7" s="75" t="s">
        <v>352</v>
      </c>
      <c r="AK7" s="92" t="s">
        <v>493</v>
      </c>
      <c r="AL7" s="75" t="s">
        <v>365</v>
      </c>
      <c r="AO7" s="75" t="s">
        <v>389</v>
      </c>
      <c r="AP7" s="92" t="s">
        <v>493</v>
      </c>
    </row>
    <row r="8" spans="1:44">
      <c r="A8" s="85" t="s">
        <v>521</v>
      </c>
      <c r="B8" s="85" t="s">
        <v>493</v>
      </c>
      <c r="E8" s="92" t="s">
        <v>493</v>
      </c>
      <c r="F8" s="92" t="s">
        <v>493</v>
      </c>
      <c r="G8" s="75" t="s">
        <v>185</v>
      </c>
      <c r="J8" s="75" t="s">
        <v>200</v>
      </c>
      <c r="K8" s="92" t="s">
        <v>493</v>
      </c>
      <c r="O8" s="75" t="s">
        <v>220</v>
      </c>
      <c r="P8" s="75" t="s">
        <v>227</v>
      </c>
      <c r="Q8" s="75" t="s">
        <v>246</v>
      </c>
      <c r="R8" s="75" t="s">
        <v>254</v>
      </c>
      <c r="S8" s="92" t="s">
        <v>493</v>
      </c>
      <c r="U8" s="75" t="s">
        <v>272</v>
      </c>
      <c r="Y8" s="75" t="s">
        <v>289</v>
      </c>
      <c r="AC8" s="75" t="s">
        <v>304</v>
      </c>
      <c r="AE8" s="75" t="s">
        <v>317</v>
      </c>
      <c r="AG8" s="75" t="s">
        <v>329</v>
      </c>
      <c r="AH8" s="75" t="s">
        <v>342</v>
      </c>
      <c r="AJ8" s="75" t="s">
        <v>353</v>
      </c>
      <c r="AL8" s="75" t="s">
        <v>366</v>
      </c>
      <c r="AO8" s="75" t="s">
        <v>390</v>
      </c>
    </row>
    <row r="9" spans="1:44">
      <c r="A9" s="85" t="s">
        <v>493</v>
      </c>
      <c r="G9" s="92" t="s">
        <v>493</v>
      </c>
      <c r="J9" s="75" t="s">
        <v>201</v>
      </c>
      <c r="O9" s="92" t="s">
        <v>493</v>
      </c>
      <c r="P9" s="75" t="s">
        <v>228</v>
      </c>
      <c r="Q9" s="75" t="s">
        <v>247</v>
      </c>
      <c r="R9" s="92" t="s">
        <v>493</v>
      </c>
      <c r="U9" s="75" t="s">
        <v>273</v>
      </c>
      <c r="Y9" t="s">
        <v>493</v>
      </c>
      <c r="AC9" s="75" t="s">
        <v>305</v>
      </c>
      <c r="AE9" s="92" t="s">
        <v>493</v>
      </c>
      <c r="AG9" s="75" t="s">
        <v>330</v>
      </c>
      <c r="AH9" s="75" t="s">
        <v>343</v>
      </c>
      <c r="AJ9" s="75" t="s">
        <v>354</v>
      </c>
      <c r="AL9" s="75" t="s">
        <v>367</v>
      </c>
      <c r="AO9" s="75" t="s">
        <v>391</v>
      </c>
    </row>
    <row r="10" spans="1:44">
      <c r="J10" s="92" t="s">
        <v>493</v>
      </c>
      <c r="P10" s="75" t="s">
        <v>229</v>
      </c>
      <c r="Q10" s="92" t="s">
        <v>493</v>
      </c>
      <c r="U10" s="75" t="s">
        <v>274</v>
      </c>
      <c r="AC10" s="75" t="s">
        <v>306</v>
      </c>
      <c r="AG10" s="75" t="s">
        <v>331</v>
      </c>
      <c r="AH10" s="92" t="s">
        <v>493</v>
      </c>
      <c r="AJ10" s="92" t="s">
        <v>493</v>
      </c>
      <c r="AL10" s="75" t="s">
        <v>368</v>
      </c>
      <c r="AO10" s="75" t="s">
        <v>392</v>
      </c>
    </row>
    <row r="11" spans="1:44">
      <c r="P11" s="75" t="s">
        <v>230</v>
      </c>
      <c r="U11" s="92" t="s">
        <v>493</v>
      </c>
      <c r="AC11" s="92" t="s">
        <v>493</v>
      </c>
      <c r="AG11" s="75" t="s">
        <v>332</v>
      </c>
      <c r="AL11" s="75" t="s">
        <v>369</v>
      </c>
      <c r="AO11" s="92" t="s">
        <v>493</v>
      </c>
    </row>
    <row r="12" spans="1:44">
      <c r="P12" s="75" t="s">
        <v>231</v>
      </c>
      <c r="AG12" s="75" t="s">
        <v>333</v>
      </c>
      <c r="AL12" s="75" t="s">
        <v>370</v>
      </c>
    </row>
    <row r="13" spans="1:44">
      <c r="P13" s="75" t="s">
        <v>232</v>
      </c>
      <c r="AG13" s="75" t="s">
        <v>334</v>
      </c>
      <c r="AL13" s="75" t="s">
        <v>371</v>
      </c>
    </row>
    <row r="14" spans="1:44">
      <c r="P14" s="75" t="s">
        <v>233</v>
      </c>
      <c r="AG14" s="75" t="s">
        <v>335</v>
      </c>
      <c r="AL14" s="75" t="s">
        <v>372</v>
      </c>
    </row>
    <row r="15" spans="1:44">
      <c r="P15" s="75" t="s">
        <v>234</v>
      </c>
      <c r="AG15" s="92" t="s">
        <v>493</v>
      </c>
      <c r="AL15" s="75" t="s">
        <v>373</v>
      </c>
    </row>
    <row r="16" spans="1:44">
      <c r="P16" s="75" t="s">
        <v>235</v>
      </c>
      <c r="AL16" s="75" t="s">
        <v>374</v>
      </c>
    </row>
    <row r="17" spans="16:38">
      <c r="P17" s="75" t="s">
        <v>236</v>
      </c>
      <c r="AL17" s="75" t="s">
        <v>375</v>
      </c>
    </row>
    <row r="18" spans="16:38">
      <c r="P18" s="75" t="s">
        <v>237</v>
      </c>
      <c r="AL18" s="92" t="s">
        <v>493</v>
      </c>
    </row>
    <row r="19" spans="16:38">
      <c r="P19" s="75" t="s">
        <v>238</v>
      </c>
    </row>
    <row r="20" spans="16:38">
      <c r="P20" s="75" t="s">
        <v>239</v>
      </c>
    </row>
    <row r="21" spans="16:38">
      <c r="P21" s="92" t="s">
        <v>493</v>
      </c>
    </row>
  </sheetData>
  <phoneticPr fontId="3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'Org List'!Print_Titles</vt:lpstr>
      <vt:lpstr>'User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Microsoft Office User</cp:lastModifiedBy>
  <dcterms:created xsi:type="dcterms:W3CDTF">2016-10-06T00:09:35Z</dcterms:created>
  <dcterms:modified xsi:type="dcterms:W3CDTF">2018-09-19T03:13:59Z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