
<file path=[Content_Types].xml><?xml version="1.0" encoding="utf-8"?>
<Types xmlns="http://schemas.openxmlformats.org/package/2006/content-types">
  <Default Extension="xml" ContentType="application/xml"/>
  <Default Extension="bin" ContentType="application/vnd.openxmlformats-officedocument.spreadsheetml.printerSettings"/>
  <Default Extension="vml" ContentType="application/vnd.openxmlformats-officedocument.vmlDrawi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288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qtang/Desktop/APM/Git/hc-apm-web/src/src/main/webapp/portal/asset/assetImport/"/>
    </mc:Choice>
  </mc:AlternateContent>
  <bookViews>
    <workbookView xWindow="0" yWindow="460" windowWidth="38400" windowHeight="20220"/>
  </bookViews>
  <sheets>
    <sheet name="Asset List" sheetId="2" r:id="rId1"/>
    <sheet name="Org List" sheetId="11" r:id="rId2"/>
    <sheet name="User List" sheetId="9" state="hidden" r:id="rId3"/>
    <sheet name="必填字段检查表" sheetId="15" r:id="rId4"/>
    <sheet name="必填字段填写说明" sheetId="14" r:id="rId5"/>
    <sheet name="设备分类" sheetId="13" state="hidden" r:id="rId6"/>
    <sheet name="OldType" sheetId="17" state="hidden" r:id="rId7"/>
    <sheet name="设备68码分类" sheetId="16" state="hidden" r:id="rId8"/>
  </sheets>
  <definedNames>
    <definedName name="_6804眼科手术器械">设备68码分类!$A$2:$A$7</definedName>
    <definedName name="_6805耳鼻喉科手术器械">设备68码分类!$B$2:$B$8</definedName>
    <definedName name="_6806口腔科手术器械">设备68码分类!$C$2:$C$8</definedName>
    <definedName name="_6807胸腔心血管外科手术器械">设备68码分类!$D$2:$D$9</definedName>
    <definedName name="_6808腹部外科手术器械">设备68码分类!$E$2:$E$6</definedName>
    <definedName name="_6809泌尿肛肠外科手术器械">设备68码分类!$F$2:$F$6</definedName>
    <definedName name="_6810矫形外科_骨科_手术器械">设备68码分类!$G$2:$G$10</definedName>
    <definedName name="_6812妇产科用手术器械">设备68码分类!$H$2:$H$8</definedName>
    <definedName name="_6813计划生育手术器械">设备68码分类!$I$2:$I$4</definedName>
    <definedName name="_6815注射穿刺器械">设备68码分类!$J$2</definedName>
    <definedName name="_6816烧伤_整形_科手术器械">设备68码分类!$K$2:$K$6</definedName>
    <definedName name="_6820普通诊察器械">设备68码分类!$L$2:$L$9</definedName>
    <definedName name="_6821医用电子仪器设备">设备68码分类!$M$2:$M$21</definedName>
    <definedName name="_6822医用光学器具、仪器及内窥镜设备">设备68码分类!$N$2:$N$10</definedName>
    <definedName name="_6823医用超声仪器及有关设备">设备68码分类!$O$2:$O$9</definedName>
    <definedName name="_6824医用激光仪器设备">设备68码分类!$P$2:$P$8</definedName>
    <definedName name="_6825医用高频仪器设备">设备68码分类!$Q$2:$Q$7</definedName>
    <definedName name="_6826物理治疗及康复设备">设备68码分类!$R$2:$R$11</definedName>
    <definedName name="_6827中医器械">设备68码分类!$S$2:$S$5</definedName>
    <definedName name="_6828医用磁共振设备">设备68码分类!$T$2:$T$3</definedName>
    <definedName name="_6830医用X射线设备">设备68码分类!$U$2:$U$6</definedName>
    <definedName name="_6831医用X射线附属设备及部件">设备68码分类!$V$2:$V$9</definedName>
    <definedName name="_6832医用高能射线设备">设备68码分类!$W$2:$W$4</definedName>
    <definedName name="_6833医用核素设备">设备68码分类!$X$2:$X$6</definedName>
    <definedName name="_6834医用射线防护用品、装置">设备68码分类!$Y$2:$Y$4</definedName>
    <definedName name="_6840临床检验分析仪器">设备68码分类!$Z$2:$Z$11</definedName>
    <definedName name="_6841医用化验和基础设备器具">设备68码分类!$AA$2:$AA$6</definedName>
    <definedName name="_6845体外循环及血液处理设备">设备68码分类!$AB$2:$AB$9</definedName>
    <definedName name="_6846植入材料和人工器官">设备68码分类!$AC$2:$AC$7</definedName>
    <definedName name="_6854手术室、急救室、诊疗室设备及器具">设备68码分类!$AD$2:$AD$15</definedName>
    <definedName name="_6855口腔科设备及器具">设备68码分类!$AE$2:$AE$10</definedName>
    <definedName name="_6856病房护理设备及器具">设备68码分类!$AF$2:$AF$5</definedName>
    <definedName name="_6857消毒和灭菌设备及器具">设备68码分类!$AG$2:$AG$10</definedName>
    <definedName name="_6858医用冷疗、低温、冷藏设备及器具">设备68码分类!$AH$2:$AH$7</definedName>
    <definedName name="_6863口腔科材料">设备68码分类!$AI$2:$AI$18</definedName>
    <definedName name="_6864医用卫生材料及敷料">设备68码分类!$AJ$2:$AJ$6</definedName>
    <definedName name="_6865医用缝合材料及粘合剂">设备68码分类!$AK$2:$AK$6</definedName>
    <definedName name="_6866医用高分子材料及制品">设备68码分类!$AL$2:$AL$11</definedName>
    <definedName name="_6870软件">设备68码分类!$AM$2:$AM$7</definedName>
    <definedName name="_6877介入器材">设备68码分类!$AN$2:$AN$5</definedName>
    <definedName name="BinNumber">'User List'!$A$5:$A$8</definedName>
    <definedName name="ColumnTitle1">'Asset List'!$A$6</definedName>
    <definedName name="ColumnTitle2">'Org List'!$A$4</definedName>
    <definedName name="ColumnTitle3">'User List'!$A$4</definedName>
    <definedName name="OrgList">'Org List'!$A$5:$A$10</definedName>
    <definedName name="_xlnm.Print_Titles" localSheetId="0">'Asset List'!$6:$6</definedName>
    <definedName name="_xlnm.Print_Titles" localSheetId="1">'Org List'!$4:$4</definedName>
    <definedName name="_xlnm.Print_Titles" localSheetId="2">'User List'!$4:$4</definedName>
    <definedName name="SKULookup">'Asset List'!$A$7:$A$100</definedName>
    <definedName name="UserList">'User List'!$A$5:$A$8</definedName>
    <definedName name="功能分组">设备68码分类!$A$1:$AO$1</definedName>
    <definedName name="当前状态">设备分类!$M$2:$M$7</definedName>
    <definedName name="是否急救设备">设备分类!$G$2:$G$4</definedName>
    <definedName name="是否进口设备">设备分类!$H$2:$H$4</definedName>
    <definedName name="核算类别">设备分类!$L$2:$L$8</definedName>
    <definedName name="用途分类">设备分类!$C$2:$C$5</definedName>
    <definedName name="计量状态">设备分类!$K$2:$K$5</definedName>
    <definedName name="计量等级">设备分类!$F$2:$F$6</definedName>
    <definedName name="计量项目类别">设备分类!$I$2:$I$36</definedName>
    <definedName name="设备分类">设备分类!$A$2:$A$14</definedName>
    <definedName name="资金来源">设备分类!$D$2:$D$6</definedName>
    <definedName name="风险等级">设备分类!$E$2:$E$6</definedName>
  </definedName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5" i="2" l="1"/>
  <c r="B5" i="2"/>
</calcChain>
</file>

<file path=xl/comments1.xml><?xml version="1.0" encoding="utf-8"?>
<comments xmlns="http://schemas.openxmlformats.org/spreadsheetml/2006/main">
  <authors>
    <author>Luan, Da (GE Healthcare)</author>
  </authors>
  <commentList>
    <comment ref="E4" authorId="0">
      <text>
        <r>
          <rPr>
            <sz val="9"/>
            <color indexed="81"/>
            <rFont val="Tahoma"/>
            <family val="2"/>
          </rPr>
          <t xml:space="preserve">
添加数据时拖动右下角到需要位置</t>
        </r>
      </text>
    </comment>
  </commentList>
</comments>
</file>

<file path=xl/sharedStrings.xml><?xml version="1.0" encoding="utf-8"?>
<sst xmlns="http://schemas.openxmlformats.org/spreadsheetml/2006/main" count="678" uniqueCount="548">
  <si>
    <t>设备列表</t>
  </si>
  <si>
    <t>人员列表</t>
  </si>
  <si>
    <t>部门列表</t>
  </si>
  <si>
    <t>部门名称</t>
  </si>
  <si>
    <t>放射科</t>
  </si>
  <si>
    <t>超声科</t>
  </si>
  <si>
    <t>人员编号</t>
  </si>
  <si>
    <t>电话</t>
  </si>
  <si>
    <t>张三</t>
  </si>
  <si>
    <t>李四</t>
  </si>
  <si>
    <t>总价值</t>
  </si>
  <si>
    <t>总数量</t>
  </si>
  <si>
    <t>采购价格</t>
  </si>
  <si>
    <t>设备名称</t>
  </si>
  <si>
    <t>医院代号</t>
  </si>
  <si>
    <t>设备别名</t>
  </si>
  <si>
    <t>人员名字</t>
  </si>
  <si>
    <t>C-SH-RC-0001</t>
  </si>
  <si>
    <t>供应商</t>
  </si>
  <si>
    <t>最终残值</t>
  </si>
  <si>
    <t>折旧算法</t>
  </si>
  <si>
    <t>使用年限</t>
  </si>
  <si>
    <t>生产日期</t>
  </si>
  <si>
    <t>采购日期</t>
  </si>
  <si>
    <t>到货日期</t>
  </si>
  <si>
    <t>安装日期</t>
  </si>
  <si>
    <t>维保截止日期</t>
  </si>
  <si>
    <t>报废日期</t>
  </si>
  <si>
    <t>上次维护日期</t>
  </si>
  <si>
    <t>上次计量日期</t>
  </si>
  <si>
    <t>上次质检日期</t>
  </si>
  <si>
    <t>维护商</t>
  </si>
  <si>
    <t>维护商电话</t>
  </si>
  <si>
    <t>制造商</t>
  </si>
  <si>
    <t>功能分组</t>
  </si>
  <si>
    <t>设备类型</t>
  </si>
  <si>
    <t>功能等级</t>
  </si>
  <si>
    <t>制造商序列号</t>
  </si>
  <si>
    <t>资产编号</t>
  </si>
  <si>
    <t>条码</t>
  </si>
  <si>
    <t>IT系统编号</t>
  </si>
  <si>
    <t>心电室</t>
  </si>
  <si>
    <t>手术室</t>
  </si>
  <si>
    <t>医院名称</t>
  </si>
  <si>
    <t>上海***医院</t>
  </si>
  <si>
    <t>设备编号</t>
  </si>
  <si>
    <t>6806口腔科手术器械</t>
  </si>
  <si>
    <t>6807胸腔心血管外科手术器械</t>
  </si>
  <si>
    <t>6808腹部外科手术器械</t>
  </si>
  <si>
    <t>6809泌尿肛肠外科手术器械</t>
  </si>
  <si>
    <t>6812妇产科用手术器械</t>
  </si>
  <si>
    <t>6813计划生育手术器械</t>
  </si>
  <si>
    <t>6815注射穿刺器械</t>
  </si>
  <si>
    <t>6816烧伤(整形)科手术器械</t>
  </si>
  <si>
    <t>6821医用电子仪器设备</t>
  </si>
  <si>
    <t>6822医用光学器具、仪器及内窥镜设备</t>
  </si>
  <si>
    <t>6823医用超声仪器及有关设备</t>
  </si>
  <si>
    <t>6824医用激光仪器设备</t>
  </si>
  <si>
    <t>6825医用高频仪器设备</t>
  </si>
  <si>
    <t>6826物理治疗及康复设备</t>
  </si>
  <si>
    <t>6827中医器械</t>
  </si>
  <si>
    <t>6828医用磁共振设备</t>
  </si>
  <si>
    <t>6830医用X射线设备</t>
  </si>
  <si>
    <t>6831医用X射线附属设备及部件</t>
  </si>
  <si>
    <t>6833医用核素设备</t>
  </si>
  <si>
    <t>6834医用射线防护用品、装置</t>
  </si>
  <si>
    <t>6840临床检验分析仪器</t>
  </si>
  <si>
    <t>6841医用化验和基础设备器具</t>
  </si>
  <si>
    <t>6845体外循环及血液处理设备</t>
  </si>
  <si>
    <t>6846植入材料和人工器官</t>
  </si>
  <si>
    <t>6854手术室、急救室、诊疗室设备及器具</t>
  </si>
  <si>
    <t>6855口腔科设备及器具</t>
  </si>
  <si>
    <t>6856病房护理设备及器具</t>
  </si>
  <si>
    <t>6857消毒和灭菌设备及器具</t>
  </si>
  <si>
    <t>6858医用冷疗、低温、冷藏设备及器具</t>
  </si>
  <si>
    <t>6863口腔科材料</t>
  </si>
  <si>
    <t>6864医用卫生材料及敷料</t>
  </si>
  <si>
    <t>6865医用缝合材料及粘合剂</t>
  </si>
  <si>
    <t>6866医用高分子材料及制品</t>
  </si>
  <si>
    <t>6870软件</t>
  </si>
  <si>
    <t>6877介入器材</t>
  </si>
  <si>
    <t>所属科室</t>
  </si>
  <si>
    <t>用户名</t>
  </si>
  <si>
    <t>zhang</t>
  </si>
  <si>
    <t>li</t>
  </si>
  <si>
    <t>设备科</t>
  </si>
  <si>
    <t>SystemID/厂商报修ID</t>
  </si>
  <si>
    <t>CT类</t>
  </si>
  <si>
    <t>磁共振MRI类</t>
  </si>
  <si>
    <t>血管造影机(DSA)</t>
  </si>
  <si>
    <t>普放类(XR)</t>
  </si>
  <si>
    <t>超声影像类(US)</t>
  </si>
  <si>
    <t>核医学类(NW/PET)</t>
  </si>
  <si>
    <t>放疗类</t>
  </si>
  <si>
    <t>监护类</t>
  </si>
  <si>
    <t>呼吸类</t>
  </si>
  <si>
    <t>麻醉类</t>
  </si>
  <si>
    <t>软式内窥镜类</t>
  </si>
  <si>
    <t>硬式内窥镜类</t>
  </si>
  <si>
    <t>血液净化类</t>
  </si>
  <si>
    <t>电刀、超声刀</t>
  </si>
  <si>
    <t>医用激光类</t>
  </si>
  <si>
    <t>手术室设备类</t>
  </si>
  <si>
    <t>消毒设备类</t>
  </si>
  <si>
    <t>检验室设备类</t>
  </si>
  <si>
    <t>病理类</t>
  </si>
  <si>
    <t>口腔科设备类</t>
  </si>
  <si>
    <t>其它</t>
  </si>
  <si>
    <t>注射泵类</t>
  </si>
  <si>
    <t>输液泵类</t>
  </si>
  <si>
    <t>除颤仪类</t>
  </si>
  <si>
    <r>
      <rPr>
        <sz val="11"/>
        <color theme="0"/>
        <rFont val="宋体"/>
        <family val="3"/>
        <charset val="134"/>
      </rPr>
      <t>维修负责人</t>
    </r>
    <phoneticPr fontId="18" type="noConversion"/>
  </si>
  <si>
    <r>
      <rPr>
        <sz val="11"/>
        <color theme="0"/>
        <rFont val="宋体"/>
        <family val="3"/>
        <charset val="134"/>
      </rPr>
      <t>注册证号</t>
    </r>
    <phoneticPr fontId="18" type="noConversion"/>
  </si>
  <si>
    <r>
      <rPr>
        <sz val="11"/>
        <color theme="0"/>
        <rFont val="宋体"/>
        <family val="3"/>
        <charset val="134"/>
      </rPr>
      <t>设备型号</t>
    </r>
    <phoneticPr fontId="18" type="noConversion"/>
  </si>
  <si>
    <t>SBBH0001</t>
  </si>
  <si>
    <t>XXXX</t>
  </si>
  <si>
    <t>XXX医疗器械有限公司</t>
  </si>
  <si>
    <t>XX医疗设备有限公司</t>
  </si>
  <si>
    <t>XXX</t>
  </si>
  <si>
    <t>123456</t>
  </si>
  <si>
    <t>平均年限</t>
  </si>
  <si>
    <t xml:space="preserve">
所有日期格式为MM/DD/YYYY</t>
  </si>
  <si>
    <t>字段</t>
    <phoneticPr fontId="6" type="noConversion"/>
  </si>
  <si>
    <t>是否必填</t>
    <phoneticPr fontId="6" type="noConversion"/>
  </si>
  <si>
    <t>注释</t>
    <phoneticPr fontId="6" type="noConversion"/>
  </si>
  <si>
    <t>系统强制性必填</t>
    <phoneticPr fontId="3" type="noConversion"/>
  </si>
  <si>
    <t>实施要求必填</t>
    <phoneticPr fontId="3" type="noConversion"/>
  </si>
  <si>
    <t>Y</t>
    <phoneticPr fontId="3" type="noConversion"/>
  </si>
  <si>
    <t>M</t>
    <phoneticPr fontId="3" type="noConversion"/>
  </si>
  <si>
    <t>维修负责人</t>
    <phoneticPr fontId="3" type="noConversion"/>
  </si>
  <si>
    <r>
      <t>Y</t>
    </r>
    <r>
      <rPr>
        <sz val="12"/>
        <color indexed="57"/>
        <rFont val="Franklin Gothic Medium"/>
        <family val="3"/>
        <charset val="134"/>
      </rPr>
      <t/>
    </r>
  </si>
  <si>
    <r>
      <t>1</t>
    </r>
    <r>
      <rPr>
        <sz val="11"/>
        <color indexed="63"/>
        <rFont val="Franklin Gothic Medium"/>
        <family val="3"/>
        <charset val="134"/>
      </rPr>
      <t>，自动派工必填；</t>
    </r>
    <r>
      <rPr>
        <sz val="11"/>
        <color theme="3" tint="0.14993743705557422"/>
        <rFont val="Franklin Gothic Medium"/>
        <family val="2"/>
        <scheme val="minor"/>
      </rPr>
      <t>2</t>
    </r>
    <r>
      <rPr>
        <sz val="11"/>
        <color indexed="63"/>
        <rFont val="Franklin Gothic Medium"/>
        <family val="3"/>
        <charset val="134"/>
      </rPr>
      <t>，</t>
    </r>
    <r>
      <rPr>
        <sz val="11"/>
        <color indexed="63"/>
        <rFont val="Franklin Gothic Medium"/>
        <family val="3"/>
        <charset val="134"/>
      </rPr>
      <t>用途：推消息</t>
    </r>
    <r>
      <rPr>
        <sz val="11"/>
        <color theme="3" tint="0.14993743705557422"/>
        <rFont val="Franklin Gothic Medium"/>
        <family val="2"/>
        <scheme val="minor"/>
      </rPr>
      <t xml:space="preserve">; </t>
    </r>
  </si>
  <si>
    <t>维修负责人2</t>
  </si>
  <si>
    <t>使用部门</t>
    <phoneticPr fontId="3" type="noConversion"/>
  </si>
  <si>
    <t>S</t>
    <phoneticPr fontId="3" type="noConversion"/>
  </si>
  <si>
    <t>目前可自由输入，将来要求必填</t>
    <phoneticPr fontId="3" type="noConversion"/>
  </si>
  <si>
    <t>注册证号</t>
    <phoneticPr fontId="3" type="noConversion"/>
  </si>
  <si>
    <t>M</t>
    <phoneticPr fontId="3" type="noConversion"/>
  </si>
  <si>
    <t>设备型号</t>
    <phoneticPr fontId="3" type="noConversion"/>
  </si>
  <si>
    <t>SystemID/厂商报修ID</t>
    <phoneticPr fontId="3" type="noConversion"/>
  </si>
  <si>
    <t>S</t>
    <phoneticPr fontId="3" type="noConversion"/>
  </si>
  <si>
    <t>二维码</t>
    <phoneticPr fontId="3" type="noConversion"/>
  </si>
  <si>
    <t>图例</t>
    <phoneticPr fontId="3" type="noConversion"/>
  </si>
  <si>
    <t>M</t>
    <phoneticPr fontId="6" type="noConversion"/>
  </si>
  <si>
    <t>系统强制性必填</t>
    <phoneticPr fontId="3" type="noConversion"/>
  </si>
  <si>
    <t>Y</t>
    <phoneticPr fontId="6" type="noConversion"/>
  </si>
  <si>
    <t>S</t>
    <phoneticPr fontId="6" type="noConversion"/>
  </si>
  <si>
    <t>建议填，否则功能会受限制</t>
    <phoneticPr fontId="3" type="noConversion"/>
  </si>
  <si>
    <t>系统完全必填检查项</t>
    <phoneticPr fontId="6" type="noConversion"/>
  </si>
  <si>
    <t>编号</t>
  </si>
  <si>
    <t>检查项</t>
  </si>
  <si>
    <t>是否满足</t>
  </si>
  <si>
    <t>说明</t>
    <phoneticPr fontId="6" type="noConversion"/>
  </si>
  <si>
    <t>设备名称是否已填写</t>
  </si>
  <si>
    <t>必须有有效数据</t>
    <phoneticPr fontId="6" type="noConversion"/>
  </si>
  <si>
    <t>设备类型是否已填写</t>
    <phoneticPr fontId="6" type="noConversion"/>
  </si>
  <si>
    <t>实施必填检查项</t>
    <phoneticPr fontId="6" type="noConversion"/>
  </si>
  <si>
    <t>维修负责人是否已填写</t>
  </si>
  <si>
    <t>维修负责人的名字是否已在系统中建立</t>
    <phoneticPr fontId="6" type="noConversion"/>
  </si>
  <si>
    <t>使用部门是否已填写</t>
  </si>
  <si>
    <t>注册证号是否已填写</t>
    <phoneticPr fontId="6" type="noConversion"/>
  </si>
  <si>
    <t>功能分组是否已填写</t>
    <phoneticPr fontId="6" type="noConversion"/>
  </si>
  <si>
    <t>设备型号是否已填写</t>
    <phoneticPr fontId="3" type="noConversion"/>
  </si>
  <si>
    <t>SystemID/厂商报修ID是否全部已填写</t>
  </si>
  <si>
    <t>资产编号是否已填写</t>
  </si>
  <si>
    <t>对于大放设备，IT系统编号是否已填写</t>
  </si>
  <si>
    <r>
      <t>RIS</t>
    </r>
    <r>
      <rPr>
        <sz val="11"/>
        <color indexed="8"/>
        <rFont val="宋体"/>
        <family val="3"/>
        <charset val="134"/>
      </rPr>
      <t>集成版必须填写</t>
    </r>
  </si>
  <si>
    <t>安装日期是否已填写</t>
  </si>
  <si>
    <t>维保截止日期是否已填写</t>
  </si>
  <si>
    <t>二维码是否已填写</t>
  </si>
  <si>
    <t>二维码是否没有重复值</t>
    <phoneticPr fontId="6" type="noConversion"/>
  </si>
  <si>
    <t>二维码是否会被Excel自动调整格式</t>
    <phoneticPr fontId="6" type="noConversion"/>
  </si>
  <si>
    <t>建议填写检查项</t>
    <phoneticPr fontId="6" type="noConversion"/>
  </si>
  <si>
    <t>设备编号是否已填写</t>
  </si>
  <si>
    <t>必须有有效数据</t>
  </si>
  <si>
    <t>设备编号是否不重复</t>
    <phoneticPr fontId="6" type="noConversion"/>
  </si>
  <si>
    <t>制造商是否已填写</t>
    <phoneticPr fontId="6" type="noConversion"/>
  </si>
  <si>
    <t>建议尽量填，否则功能会受限制</t>
    <phoneticPr fontId="6" type="noConversion"/>
  </si>
  <si>
    <t>采购价格是否已填写</t>
    <phoneticPr fontId="6" type="noConversion"/>
  </si>
  <si>
    <t>放射科</t>
    <phoneticPr fontId="18" type="noConversion"/>
  </si>
  <si>
    <t>眼科手术用其他器械</t>
  </si>
  <si>
    <t>眼科手术用剪</t>
  </si>
  <si>
    <t>眼科手术用钳</t>
  </si>
  <si>
    <t>眼科手术用镊、夹</t>
  </si>
  <si>
    <t>眼科手术用钩、针</t>
  </si>
  <si>
    <t>耳鼻喉科用刀、凿</t>
  </si>
  <si>
    <t>耳鼻喉科用剪</t>
  </si>
  <si>
    <t>耳鼻喉科用钳</t>
  </si>
  <si>
    <t>耳鼻喉科用镊、夹</t>
  </si>
  <si>
    <t>耳鼻喉科用钩、针</t>
  </si>
  <si>
    <t>耳鼻喉科用其他器械</t>
  </si>
  <si>
    <t>口腔用刀、凿</t>
  </si>
  <si>
    <t>口腔用剪</t>
  </si>
  <si>
    <t>口腔用钳</t>
  </si>
  <si>
    <t>口腔用镊、夹</t>
  </si>
  <si>
    <t>口腔用钩、针</t>
  </si>
  <si>
    <t>口腔用其它器械</t>
  </si>
  <si>
    <t>胸腔心血管外科用刀</t>
  </si>
  <si>
    <t>胸腔心血管外科用剪</t>
  </si>
  <si>
    <t>胸腔心血管外科用钳</t>
  </si>
  <si>
    <t>胸腔心血管外科用镊、夹</t>
  </si>
  <si>
    <t>胸腔心血管外科用钩、针</t>
  </si>
  <si>
    <t>胸腔心血管外科用其他器械</t>
  </si>
  <si>
    <t>胸腔心血管外科用吸引器</t>
  </si>
  <si>
    <t>腹部外科用剪</t>
  </si>
  <si>
    <t>腹部外科用钳</t>
  </si>
  <si>
    <t>腹部外科用钩、针</t>
  </si>
  <si>
    <t>腹部外科用其他器械</t>
  </si>
  <si>
    <t>泌尿肛肠科用剪</t>
  </si>
  <si>
    <t>泌尿肛肠科用钳</t>
  </si>
  <si>
    <t>泌尿肛肠科用钩、针</t>
  </si>
  <si>
    <t>泌尿肛肠科用其他器械</t>
  </si>
  <si>
    <t>矫形（骨科）外科用锯、凿、锉</t>
  </si>
  <si>
    <t>矫形（骨科）外科用钳</t>
  </si>
  <si>
    <t>矫形（骨科）外科用钩、针</t>
  </si>
  <si>
    <t>矫形（骨科）外科用有源器械</t>
  </si>
  <si>
    <t>矫形（骨科）外科用剪</t>
  </si>
  <si>
    <t>矫形（骨科）外科用刮</t>
  </si>
  <si>
    <t>矫形（骨科）外科用刀、锥</t>
  </si>
  <si>
    <t>矫形（骨科）外科用其它器械</t>
  </si>
  <si>
    <t>妇产科用刀</t>
  </si>
  <si>
    <t>妇产科用剪</t>
  </si>
  <si>
    <t>妇产科用钳</t>
  </si>
  <si>
    <t>妇产科用镊、夹</t>
  </si>
  <si>
    <t>妇产科用钩、针</t>
  </si>
  <si>
    <t>妇产科用其他器械</t>
  </si>
  <si>
    <t>计划生育用钳</t>
  </si>
  <si>
    <t>计划生育用其他器械</t>
  </si>
  <si>
    <t>烧伤（整形）用刀、凿</t>
  </si>
  <si>
    <t>烧伤（整形）用钳</t>
  </si>
  <si>
    <t>烧伤（整形）用镊、夹</t>
  </si>
  <si>
    <t>烧伤（整形）用其他器械</t>
  </si>
  <si>
    <t>体温计</t>
  </si>
  <si>
    <t>血压计</t>
  </si>
  <si>
    <t>肺量计</t>
  </si>
  <si>
    <t>听诊器（无电能）</t>
  </si>
  <si>
    <t>叩诊锤（无电能）</t>
  </si>
  <si>
    <t>反光器具</t>
  </si>
  <si>
    <t>视力诊察器具</t>
  </si>
  <si>
    <t>用于心脏的治疗、急救装置</t>
  </si>
  <si>
    <t>有创式电生理仪器及创新电生理仪器</t>
  </si>
  <si>
    <r>
      <t>有创医用传感器</t>
    </r>
    <r>
      <rPr>
        <sz val="11"/>
        <color theme="3" tint="0.14993743705557422"/>
        <rFont val="Franklin Gothic Medium"/>
        <family val="2"/>
        <scheme val="minor"/>
      </rPr>
      <t>&amp;</t>
    </r>
    <r>
      <rPr>
        <sz val="11"/>
        <color theme="3" tint="0.14993743705557422"/>
        <rFont val="Franklin Gothic Medium"/>
        <family val="2"/>
        <scheme val="minor"/>
      </rPr>
      <t>无创医用传感器</t>
    </r>
  </si>
  <si>
    <t>心电诊断仪器</t>
  </si>
  <si>
    <t>脑电诊断仪器</t>
  </si>
  <si>
    <t>肌电诊断仪器</t>
  </si>
  <si>
    <t>其他生物电诊断仪器</t>
  </si>
  <si>
    <t>电声诊断仪器</t>
  </si>
  <si>
    <t>无创监护仪器</t>
  </si>
  <si>
    <t>呼吸功能及气体分析测定装置</t>
  </si>
  <si>
    <t>医用刺激器</t>
  </si>
  <si>
    <t>血流量、容量测定装置</t>
  </si>
  <si>
    <t>电子压力测定装置</t>
  </si>
  <si>
    <t>生理研究实验仪器</t>
  </si>
  <si>
    <t>光谱诊断设备</t>
  </si>
  <si>
    <t>体外反搏及其辅助循环装置</t>
  </si>
  <si>
    <t>睡眠呼吸治疗系统</t>
  </si>
  <si>
    <t>心电电极</t>
  </si>
  <si>
    <t>心电导联线</t>
  </si>
  <si>
    <t>植入体内或长期接触体内的眼科光学器具</t>
  </si>
  <si>
    <t>心及血管、有创、腔内手术用内窥镜</t>
  </si>
  <si>
    <t>电子内窥镜</t>
  </si>
  <si>
    <t>眼科光学仪器</t>
  </si>
  <si>
    <t>光学内窥镜及冷光源</t>
  </si>
  <si>
    <t>医用手术及诊断用显微设备</t>
  </si>
  <si>
    <t>医用放大镜</t>
  </si>
  <si>
    <t>医用光学仪器配件及附件</t>
  </si>
  <si>
    <t>超声手术及聚焦治疗设备</t>
  </si>
  <si>
    <r>
      <t>彩色超声成像设备及超声介入</t>
    </r>
    <r>
      <rPr>
        <sz val="11"/>
        <color theme="3" tint="0.14993743705557422"/>
        <rFont val="Franklin Gothic Medium"/>
        <family val="2"/>
        <scheme val="minor"/>
      </rPr>
      <t>/</t>
    </r>
    <r>
      <rPr>
        <sz val="11"/>
        <color theme="3" tint="0.14993743705557422"/>
        <rFont val="Franklin Gothic Medium"/>
        <family val="2"/>
        <scheme val="minor"/>
      </rPr>
      <t>腔内诊断设备</t>
    </r>
  </si>
  <si>
    <t>超声母婴监护设备</t>
  </si>
  <si>
    <t>超声换能器</t>
  </si>
  <si>
    <t>便携式超声诊断设备</t>
  </si>
  <si>
    <t>超声理疗设备</t>
  </si>
  <si>
    <t>超声辅助材料</t>
  </si>
  <si>
    <t>激光手术和治疗设备</t>
  </si>
  <si>
    <t>激光诊断仪器</t>
  </si>
  <si>
    <t>介入式激光诊治仪器</t>
  </si>
  <si>
    <t>激光手术器械</t>
  </si>
  <si>
    <t>弱激光体外治疗仪器</t>
  </si>
  <si>
    <t>干色激光打印机</t>
  </si>
  <si>
    <t>高频手术和电凝设备</t>
  </si>
  <si>
    <t>高频电熨设备</t>
  </si>
  <si>
    <t>微波治疗设备</t>
  </si>
  <si>
    <t>射频治疗设备</t>
  </si>
  <si>
    <t>高频电极</t>
  </si>
  <si>
    <t>高压氧治疗设备</t>
  </si>
  <si>
    <t>电疗仪器</t>
  </si>
  <si>
    <t>光谱辐射治疗仪器</t>
  </si>
  <si>
    <t>高压电位治疗设备</t>
  </si>
  <si>
    <t>理疗康复仪器</t>
  </si>
  <si>
    <t>生物反馈仪</t>
  </si>
  <si>
    <t>磁疗仪器</t>
  </si>
  <si>
    <t>眼科康复治疗仪器</t>
  </si>
  <si>
    <t>理疗用电极</t>
  </si>
  <si>
    <t>诊断仪器</t>
  </si>
  <si>
    <t>治疗仪器</t>
  </si>
  <si>
    <t>中医器具</t>
  </si>
  <si>
    <r>
      <t>医用磁共振成像设备</t>
    </r>
    <r>
      <rPr>
        <sz val="11"/>
        <color theme="3" tint="0.14993743705557422"/>
        <rFont val="Franklin Gothic Medium"/>
        <family val="2"/>
        <scheme val="minor"/>
      </rPr>
      <t>(MRI)</t>
    </r>
  </si>
  <si>
    <r>
      <t>X</t>
    </r>
    <r>
      <rPr>
        <sz val="11"/>
        <color theme="3" tint="0.14993743705557422"/>
        <rFont val="Franklin Gothic Medium"/>
        <family val="2"/>
        <scheme val="minor"/>
      </rPr>
      <t>射线治疗设备</t>
    </r>
  </si>
  <si>
    <r>
      <t>X</t>
    </r>
    <r>
      <rPr>
        <sz val="11"/>
        <color theme="3" tint="0.14993743705557422"/>
        <rFont val="Franklin Gothic Medium"/>
        <family val="2"/>
        <scheme val="minor"/>
      </rPr>
      <t>射线诊断设备及高压发生装置</t>
    </r>
  </si>
  <si>
    <r>
      <t>X</t>
    </r>
    <r>
      <rPr>
        <sz val="11"/>
        <color theme="3" tint="0.14993743705557422"/>
        <rFont val="Franklin Gothic Medium"/>
        <family val="2"/>
        <scheme val="minor"/>
      </rPr>
      <t>射线手术影像设备</t>
    </r>
  </si>
  <si>
    <r>
      <t>X</t>
    </r>
    <r>
      <rPr>
        <sz val="11"/>
        <color theme="3" tint="0.14993743705557422"/>
        <rFont val="Franklin Gothic Medium"/>
        <family val="2"/>
        <scheme val="minor"/>
      </rPr>
      <t>射线计算机断层摄影设备（</t>
    </r>
    <r>
      <rPr>
        <sz val="11"/>
        <color theme="3" tint="0.14993743705557422"/>
        <rFont val="Franklin Gothic Medium"/>
        <family val="2"/>
        <scheme val="minor"/>
      </rPr>
      <t>CT</t>
    </r>
    <r>
      <rPr>
        <sz val="11"/>
        <color theme="3" tint="0.14993743705557422"/>
        <rFont val="Franklin Gothic Medium"/>
        <family val="2"/>
        <scheme val="minor"/>
      </rPr>
      <t>）</t>
    </r>
  </si>
  <si>
    <r>
      <t>医用</t>
    </r>
    <r>
      <rPr>
        <sz val="11"/>
        <color theme="3" tint="0.14993743705557422"/>
        <rFont val="Franklin Gothic Medium"/>
        <family val="2"/>
        <scheme val="minor"/>
      </rPr>
      <t>X</t>
    </r>
    <r>
      <rPr>
        <sz val="11"/>
        <color theme="3" tint="0.14993743705557422"/>
        <rFont val="Franklin Gothic Medium"/>
        <family val="2"/>
        <scheme val="minor"/>
      </rPr>
      <t>射线管、管组件或源组件</t>
    </r>
  </si>
  <si>
    <r>
      <t>医用</t>
    </r>
    <r>
      <rPr>
        <sz val="11"/>
        <color theme="3" tint="0.14993743705557422"/>
        <rFont val="Franklin Gothic Medium"/>
        <family val="2"/>
        <scheme val="minor"/>
      </rPr>
      <t>X</t>
    </r>
    <r>
      <rPr>
        <sz val="11"/>
        <color theme="3" tint="0.14993743705557422"/>
        <rFont val="Franklin Gothic Medium"/>
        <family val="2"/>
        <scheme val="minor"/>
      </rPr>
      <t>线影像系统及成像器件</t>
    </r>
  </si>
  <si>
    <r>
      <t>X</t>
    </r>
    <r>
      <rPr>
        <sz val="11"/>
        <color theme="3" tint="0.14993743705557422"/>
        <rFont val="Franklin Gothic Medium"/>
        <family val="2"/>
        <scheme val="minor"/>
      </rPr>
      <t>线机配套用患者或部件支撑装置（电动）</t>
    </r>
  </si>
  <si>
    <r>
      <t>X</t>
    </r>
    <r>
      <rPr>
        <sz val="11"/>
        <color theme="3" tint="0.14993743705557422"/>
        <rFont val="Franklin Gothic Medium"/>
        <family val="2"/>
        <scheme val="minor"/>
      </rPr>
      <t>射线透视、摄影附加装置</t>
    </r>
  </si>
  <si>
    <r>
      <t>X</t>
    </r>
    <r>
      <rPr>
        <sz val="11"/>
        <color theme="3" tint="0.14993743705557422"/>
        <rFont val="Franklin Gothic Medium"/>
        <family val="2"/>
        <scheme val="minor"/>
      </rPr>
      <t>射线机用限速器</t>
    </r>
  </si>
  <si>
    <r>
      <t>医用</t>
    </r>
    <r>
      <rPr>
        <sz val="11"/>
        <color theme="3" tint="0.14993743705557422"/>
        <rFont val="Franklin Gothic Medium"/>
        <family val="2"/>
        <scheme val="minor"/>
      </rPr>
      <t>X</t>
    </r>
    <r>
      <rPr>
        <sz val="11"/>
        <color theme="3" tint="0.14993743705557422"/>
        <rFont val="Franklin Gothic Medium"/>
        <family val="2"/>
        <scheme val="minor"/>
      </rPr>
      <t>线胶片处理装置</t>
    </r>
  </si>
  <si>
    <r>
      <t>医用</t>
    </r>
    <r>
      <rPr>
        <sz val="11"/>
        <color theme="3" tint="0.14993743705557422"/>
        <rFont val="Franklin Gothic Medium"/>
        <family val="2"/>
        <scheme val="minor"/>
      </rPr>
      <t>X</t>
    </r>
    <r>
      <rPr>
        <sz val="11"/>
        <color theme="3" tint="0.14993743705557422"/>
        <rFont val="Franklin Gothic Medium"/>
        <family val="2"/>
        <scheme val="minor"/>
      </rPr>
      <t>线机配套用非电动床、椅等用具</t>
    </r>
  </si>
  <si>
    <t>医用高能射线治疗设备</t>
  </si>
  <si>
    <t>高能射线治疗定位设备</t>
  </si>
  <si>
    <t>放射性核素治疗设备</t>
  </si>
  <si>
    <t>放射性核素诊断设备</t>
  </si>
  <si>
    <t>核素标本测定装置</t>
  </si>
  <si>
    <t>核素设备用准直装置</t>
  </si>
  <si>
    <t>医用射线防护用品</t>
  </si>
  <si>
    <t>医用射线防护装置</t>
  </si>
  <si>
    <t>血液分析系统</t>
  </si>
  <si>
    <t>生化分析系统</t>
  </si>
  <si>
    <t>免疫分析系统</t>
  </si>
  <si>
    <t>细菌分析系统</t>
  </si>
  <si>
    <t>尿液分析系统</t>
  </si>
  <si>
    <t>生物分离系统</t>
  </si>
  <si>
    <t>血气分析系统</t>
  </si>
  <si>
    <t>基因和生命科学仪器</t>
  </si>
  <si>
    <t>临床医学检验辅助设备</t>
  </si>
  <si>
    <t>医用培养箱</t>
  </si>
  <si>
    <t>医用离心机</t>
  </si>
  <si>
    <t>病理分析前处理设备</t>
  </si>
  <si>
    <t>血液化验设备和器具</t>
  </si>
  <si>
    <t>人工心肺设备</t>
  </si>
  <si>
    <t>氧合器</t>
  </si>
  <si>
    <t>人工心肺设备辅助装置</t>
  </si>
  <si>
    <t>血液净化设备和血液净化器具</t>
  </si>
  <si>
    <t>血液净化设备辅助装置</t>
  </si>
  <si>
    <t>体液处理设备</t>
  </si>
  <si>
    <t>透析粉、透析液</t>
  </si>
  <si>
    <t>植入器材</t>
  </si>
  <si>
    <t>植入性人工器官</t>
  </si>
  <si>
    <t>接触式人工器官</t>
  </si>
  <si>
    <t>支架</t>
  </si>
  <si>
    <t>器官辅助装置</t>
  </si>
  <si>
    <t>手术及急救装置</t>
  </si>
  <si>
    <t>呼吸设备</t>
  </si>
  <si>
    <t>呼吸麻醉设备及附件</t>
  </si>
  <si>
    <t>婴儿保育设备</t>
  </si>
  <si>
    <t>输液辅助装置</t>
  </si>
  <si>
    <t>负压吸引装置</t>
  </si>
  <si>
    <t>呼吸设备配件</t>
  </si>
  <si>
    <t>医用制气设备</t>
  </si>
  <si>
    <t>电动、液压手术台</t>
  </si>
  <si>
    <t>冲洗、通气、减压器具</t>
  </si>
  <si>
    <t>诊察治疗设备</t>
  </si>
  <si>
    <t>手术灯</t>
  </si>
  <si>
    <t>手动手术台床</t>
  </si>
  <si>
    <t>口腔综合治疗设备</t>
  </si>
  <si>
    <t>牙钻机及配件</t>
  </si>
  <si>
    <t>牙科椅</t>
  </si>
  <si>
    <t>牙科手机</t>
  </si>
  <si>
    <t>洁牙、补牙设备</t>
  </si>
  <si>
    <t>车针</t>
  </si>
  <si>
    <t>口腔综合治疗设备配件</t>
  </si>
  <si>
    <t>口腔灯</t>
  </si>
  <si>
    <t>供氧系统</t>
  </si>
  <si>
    <t>病床</t>
  </si>
  <si>
    <t>医用供气、输气装置</t>
  </si>
  <si>
    <t>辐射灭菌设备</t>
  </si>
  <si>
    <t>压力蒸汽灭菌设备</t>
  </si>
  <si>
    <t>气体灭菌设备</t>
  </si>
  <si>
    <t>干热灭菌设备</t>
  </si>
  <si>
    <t>高压电离灭菌设备</t>
  </si>
  <si>
    <t>专用消毒设备</t>
  </si>
  <si>
    <t>煮沸灭菌器具</t>
  </si>
  <si>
    <t>煮沸消毒设备</t>
  </si>
  <si>
    <t>低温治疗仪器</t>
  </si>
  <si>
    <t>医用低温设备</t>
  </si>
  <si>
    <t>医用冷藏设备</t>
  </si>
  <si>
    <t>医用冷冻设备</t>
  </si>
  <si>
    <t>冷敷器具</t>
  </si>
  <si>
    <t>高分子义齿材料</t>
  </si>
  <si>
    <t>齿科植入材料</t>
  </si>
  <si>
    <t>根管充填材料</t>
  </si>
  <si>
    <t>牙周塞治剂</t>
  </si>
  <si>
    <t>颌面部修复材料</t>
  </si>
  <si>
    <t>永久性充填材料及有关材料</t>
  </si>
  <si>
    <t>暂封性充填材料及有关材料</t>
  </si>
  <si>
    <t>金属、陶瓷类义齿材料</t>
  </si>
  <si>
    <t>齿科预防保健材料</t>
  </si>
  <si>
    <t>充填辅助材料</t>
  </si>
  <si>
    <t>正畸材料</t>
  </si>
  <si>
    <t>印模材料</t>
  </si>
  <si>
    <t>铸造包埋材料</t>
  </si>
  <si>
    <t>模型材料</t>
  </si>
  <si>
    <t>齿科辅助材料</t>
  </si>
  <si>
    <t>研磨材料</t>
  </si>
  <si>
    <t>可吸收性止血、防粘连材料</t>
  </si>
  <si>
    <t>敷料、护创材料</t>
  </si>
  <si>
    <t>手术用品</t>
  </si>
  <si>
    <t>粘贴材料</t>
  </si>
  <si>
    <r>
      <t>医用可吸收缝合线（带针</t>
    </r>
    <r>
      <rPr>
        <sz val="11"/>
        <color theme="3" tint="0.14993743705557422"/>
        <rFont val="Franklin Gothic Medium"/>
        <family val="2"/>
        <scheme val="minor"/>
      </rPr>
      <t>/</t>
    </r>
    <r>
      <rPr>
        <sz val="11"/>
        <color theme="3" tint="0.14993743705557422"/>
        <rFont val="Franklin Gothic Medium"/>
        <family val="2"/>
        <scheme val="minor"/>
      </rPr>
      <t>不带针）</t>
    </r>
  </si>
  <si>
    <r>
      <t>不可吸收缝合线（带针</t>
    </r>
    <r>
      <rPr>
        <sz val="11"/>
        <color theme="3" tint="0.14993743705557422"/>
        <rFont val="Franklin Gothic Medium"/>
        <family val="2"/>
        <scheme val="minor"/>
      </rPr>
      <t>/</t>
    </r>
    <r>
      <rPr>
        <sz val="11"/>
        <color theme="3" tint="0.14993743705557422"/>
        <rFont val="Franklin Gothic Medium"/>
        <family val="2"/>
        <scheme val="minor"/>
      </rPr>
      <t>不带针）</t>
    </r>
  </si>
  <si>
    <t>医用粘合剂</t>
  </si>
  <si>
    <t>表面缝合材料</t>
  </si>
  <si>
    <t>输液、输血器具及管路</t>
  </si>
  <si>
    <t>妇科检查器械</t>
  </si>
  <si>
    <t>避孕器械</t>
  </si>
  <si>
    <t>导管、引流管</t>
  </si>
  <si>
    <t>呼吸麻醉或通气用气管插管</t>
  </si>
  <si>
    <t>肠道插管</t>
  </si>
  <si>
    <t>手术手套</t>
  </si>
  <si>
    <t>引流容器</t>
  </si>
  <si>
    <t>一般医疗用品</t>
  </si>
  <si>
    <t>功能程序化软件</t>
  </si>
  <si>
    <t>诊断图象处理软件</t>
  </si>
  <si>
    <t>诊断数据处理软件</t>
  </si>
  <si>
    <t>影象档案传输、处理系统软件</t>
  </si>
  <si>
    <t>人体解剖学测量软件</t>
  </si>
  <si>
    <t>血管内导管</t>
  </si>
  <si>
    <t>导丝和管鞘</t>
  </si>
  <si>
    <t>栓塞器材</t>
  </si>
  <si>
    <r>
      <t>6804</t>
    </r>
    <r>
      <rPr>
        <sz val="11"/>
        <color theme="3" tint="0.14993743705557422"/>
        <rFont val="Franklin Gothic Medium"/>
        <family val="2"/>
        <scheme val="minor"/>
      </rPr>
      <t>眼科手术器械</t>
    </r>
    <phoneticPr fontId="37" type="noConversion"/>
  </si>
  <si>
    <r>
      <t>6805</t>
    </r>
    <r>
      <rPr>
        <sz val="11"/>
        <color theme="3" tint="0.14993743705557422"/>
        <rFont val="Franklin Gothic Medium"/>
        <family val="2"/>
        <scheme val="minor"/>
      </rPr>
      <t>耳鼻喉科手术器械</t>
    </r>
    <phoneticPr fontId="37" type="noConversion"/>
  </si>
  <si>
    <t>放射类</t>
  </si>
  <si>
    <t>超声类</t>
  </si>
  <si>
    <t>呼吸麻醉类</t>
  </si>
  <si>
    <t>手术室类</t>
  </si>
  <si>
    <t>康复类</t>
  </si>
  <si>
    <t>血液透析类</t>
  </si>
  <si>
    <t>其他类</t>
  </si>
  <si>
    <t>设备分类</t>
    <phoneticPr fontId="18" type="noConversion"/>
  </si>
  <si>
    <t>诊断类</t>
  </si>
  <si>
    <t>治疗类</t>
  </si>
  <si>
    <t>辅助类</t>
  </si>
  <si>
    <t>用途分类</t>
    <phoneticPr fontId="18" type="noConversion"/>
  </si>
  <si>
    <t>资金来源</t>
    <phoneticPr fontId="18" type="noConversion"/>
  </si>
  <si>
    <t>风险等级</t>
    <phoneticPr fontId="18" type="noConversion"/>
  </si>
  <si>
    <t>计量等级</t>
    <phoneticPr fontId="18" type="noConversion"/>
  </si>
  <si>
    <t>是否急救设备</t>
    <phoneticPr fontId="18" type="noConversion"/>
  </si>
  <si>
    <t>是否进口设备</t>
    <phoneticPr fontId="18" type="noConversion"/>
  </si>
  <si>
    <t>科研</t>
  </si>
  <si>
    <t>教学</t>
  </si>
  <si>
    <t>医疗</t>
  </si>
  <si>
    <t>干保</t>
  </si>
  <si>
    <t>进口</t>
  </si>
  <si>
    <t>国产</t>
  </si>
  <si>
    <t>计量项目类别</t>
    <phoneticPr fontId="18" type="noConversion"/>
  </si>
  <si>
    <t>A类计量设备</t>
  </si>
  <si>
    <t>B类计量设备</t>
  </si>
  <si>
    <t>C类计量设备</t>
  </si>
  <si>
    <t>非计量设备</t>
  </si>
  <si>
    <t>急救设备</t>
  </si>
  <si>
    <t>二级</t>
  </si>
  <si>
    <t>医用CT</t>
  </si>
  <si>
    <t>普通X光机</t>
  </si>
  <si>
    <t>磁共振类</t>
  </si>
  <si>
    <t>B超</t>
  </si>
  <si>
    <t>X线胃肠</t>
  </si>
  <si>
    <t>医用DSA</t>
  </si>
  <si>
    <t>乳腺X光机</t>
  </si>
  <si>
    <t>医用直线加速器</t>
  </si>
  <si>
    <t>射线骨密度仪</t>
  </si>
  <si>
    <t>超声多普勒胎儿监护仪</t>
  </si>
  <si>
    <t>超声多普勒胎心仪</t>
  </si>
  <si>
    <t>医用激光</t>
  </si>
  <si>
    <t>血压计（表）</t>
  </si>
  <si>
    <t>电子血压计</t>
  </si>
  <si>
    <t>心电图机</t>
  </si>
  <si>
    <t>脑电图仪</t>
  </si>
  <si>
    <t>听力计</t>
  </si>
  <si>
    <t>验光仪</t>
  </si>
  <si>
    <t>验光镜片组</t>
  </si>
  <si>
    <t>氧气吸入器</t>
  </si>
  <si>
    <t>酸度计</t>
  </si>
  <si>
    <t>分光光度计</t>
  </si>
  <si>
    <t>天平</t>
  </si>
  <si>
    <t>电子体重秤</t>
  </si>
  <si>
    <t>指针式机械体重秤</t>
  </si>
  <si>
    <t>温湿度计</t>
  </si>
  <si>
    <t>电导率仪</t>
  </si>
  <si>
    <t>剂量仪</t>
  </si>
  <si>
    <t>活度计</t>
  </si>
  <si>
    <t>标准器</t>
  </si>
  <si>
    <t>测试仪</t>
  </si>
  <si>
    <t>在用</t>
  </si>
  <si>
    <t>停用</t>
  </si>
  <si>
    <t>待报废</t>
  </si>
  <si>
    <t>报废</t>
  </si>
  <si>
    <t>已检</t>
  </si>
  <si>
    <t>待检</t>
  </si>
  <si>
    <t>过期</t>
  </si>
  <si>
    <t>医用电子仪器</t>
  </si>
  <si>
    <t>光学仪器及内窥镜</t>
  </si>
  <si>
    <t>医用机械设备</t>
  </si>
  <si>
    <t>电子产品及通讯设备</t>
  </si>
  <si>
    <t>仪器仪表计量标准器具</t>
  </si>
  <si>
    <t>其他设备</t>
  </si>
  <si>
    <t>设备状态</t>
    <phoneticPr fontId="18" type="noConversion"/>
  </si>
  <si>
    <t>计量状态</t>
    <phoneticPr fontId="18" type="noConversion"/>
  </si>
  <si>
    <t>核算类别</t>
    <phoneticPr fontId="18" type="noConversion"/>
  </si>
  <si>
    <r>
      <rPr>
        <sz val="11"/>
        <color theme="0"/>
        <rFont val="Franklin Gothic Medium"/>
        <family val="2"/>
      </rPr>
      <t>二维码</t>
    </r>
    <phoneticPr fontId="18" type="noConversion"/>
  </si>
  <si>
    <r>
      <rPr>
        <sz val="11"/>
        <color theme="0"/>
        <rFont val="宋体"/>
        <family val="3"/>
        <charset val="134"/>
      </rPr>
      <t>安装位置编码</t>
    </r>
    <phoneticPr fontId="18" type="noConversion"/>
  </si>
  <si>
    <r>
      <rPr>
        <sz val="11"/>
        <color theme="0"/>
        <rFont val="宋体"/>
        <family val="3"/>
        <charset val="134"/>
      </rPr>
      <t>安装位置</t>
    </r>
    <phoneticPr fontId="18" type="noConversion"/>
  </si>
  <si>
    <r>
      <rPr>
        <sz val="11"/>
        <color theme="0"/>
        <rFont val="宋体"/>
        <family val="3"/>
        <charset val="134"/>
      </rPr>
      <t>使用责任人</t>
    </r>
    <phoneticPr fontId="18" type="noConversion"/>
  </si>
  <si>
    <r>
      <rPr>
        <sz val="11"/>
        <color theme="0"/>
        <rFont val="宋体"/>
        <family val="3"/>
        <charset val="134"/>
      </rPr>
      <t>备注</t>
    </r>
    <phoneticPr fontId="18" type="noConversion"/>
  </si>
  <si>
    <r>
      <rPr>
        <sz val="11"/>
        <color theme="0"/>
        <rFont val="宋体"/>
        <family val="3"/>
        <charset val="134"/>
      </rPr>
      <t>用途分类</t>
    </r>
    <phoneticPr fontId="18" type="noConversion"/>
  </si>
  <si>
    <r>
      <rPr>
        <sz val="11"/>
        <color theme="0"/>
        <rFont val="宋体"/>
        <family val="3"/>
        <charset val="134"/>
      </rPr>
      <t>资金来源</t>
    </r>
    <phoneticPr fontId="18" type="noConversion"/>
  </si>
  <si>
    <r>
      <rPr>
        <sz val="11"/>
        <color theme="0"/>
        <rFont val="宋体"/>
        <family val="3"/>
        <charset val="134"/>
      </rPr>
      <t>风险等级</t>
    </r>
    <phoneticPr fontId="18" type="noConversion"/>
  </si>
  <si>
    <r>
      <rPr>
        <sz val="11"/>
        <color theme="0"/>
        <rFont val="宋体"/>
        <family val="3"/>
        <charset val="134"/>
      </rPr>
      <t>计量等级</t>
    </r>
    <phoneticPr fontId="18" type="noConversion"/>
  </si>
  <si>
    <r>
      <rPr>
        <sz val="11"/>
        <color theme="0"/>
        <rFont val="宋体"/>
        <family val="3"/>
        <charset val="134"/>
      </rPr>
      <t>是否急救设备</t>
    </r>
    <phoneticPr fontId="18" type="noConversion"/>
  </si>
  <si>
    <r>
      <rPr>
        <sz val="11"/>
        <color theme="0"/>
        <rFont val="宋体"/>
        <family val="3"/>
        <charset val="134"/>
      </rPr>
      <t>是否进口设备</t>
    </r>
    <phoneticPr fontId="18" type="noConversion"/>
  </si>
  <si>
    <r>
      <t>6810</t>
    </r>
    <r>
      <rPr>
        <sz val="11"/>
        <color theme="3" tint="0.14993743705557422"/>
        <rFont val="Franklin Gothic Medium"/>
        <family val="2"/>
        <scheme val="minor"/>
      </rPr>
      <t>矫形外科</t>
    </r>
    <r>
      <rPr>
        <sz val="11"/>
        <color theme="3" tint="0.14993743705557422"/>
        <rFont val="Franklin Gothic Medium"/>
        <family val="2"/>
        <scheme val="minor"/>
      </rPr>
      <t>(</t>
    </r>
    <r>
      <rPr>
        <sz val="11"/>
        <color theme="3" tint="0.14993743705557422"/>
        <rFont val="Franklin Gothic Medium"/>
        <family val="2"/>
        <scheme val="minor"/>
      </rPr>
      <t>骨科</t>
    </r>
    <r>
      <rPr>
        <sz val="11"/>
        <color theme="3" tint="0.14993743705557422"/>
        <rFont val="Franklin Gothic Medium"/>
        <family val="2"/>
        <scheme val="minor"/>
      </rPr>
      <t>)</t>
    </r>
    <r>
      <rPr>
        <sz val="11"/>
        <color theme="3" tint="0.14993743705557422"/>
        <rFont val="Franklin Gothic Medium"/>
        <family val="2"/>
        <scheme val="minor"/>
      </rPr>
      <t>手术器械</t>
    </r>
    <phoneticPr fontId="37" type="noConversion"/>
  </si>
  <si>
    <t>一级A</t>
    <phoneticPr fontId="18" type="noConversion"/>
  </si>
  <si>
    <t>一级B</t>
    <phoneticPr fontId="18" type="noConversion"/>
  </si>
  <si>
    <t>二级</t>
    <phoneticPr fontId="18" type="noConversion"/>
  </si>
  <si>
    <t>三级</t>
    <phoneticPr fontId="18" type="noConversion"/>
  </si>
  <si>
    <t>急救设备</t>
    <phoneticPr fontId="18" type="noConversion"/>
  </si>
  <si>
    <t>非急救设备</t>
    <phoneticPr fontId="18" type="noConversion"/>
  </si>
  <si>
    <t>维修负责人3</t>
  </si>
  <si>
    <t>供应商</t>
    <phoneticPr fontId="18" type="noConversion"/>
  </si>
  <si>
    <t>启用日期</t>
    <phoneticPr fontId="18" type="noConversion"/>
  </si>
  <si>
    <t>设备分类</t>
    <phoneticPr fontId="18" type="noConversion"/>
  </si>
  <si>
    <t>张三</t>
    <phoneticPr fontId="18" type="noConversion"/>
  </si>
  <si>
    <t>医疗器械分类</t>
  </si>
  <si>
    <t>医疗器械子分类</t>
  </si>
  <si>
    <t>质保日期</t>
  </si>
  <si>
    <t>使用科室</t>
  </si>
  <si>
    <t>移液器</t>
  </si>
  <si>
    <t>婴儿培养箱</t>
  </si>
  <si>
    <t>实验类（检验/病理）</t>
  </si>
  <si>
    <t>消毒杀菌类</t>
  </si>
  <si>
    <t>输液注射类</t>
  </si>
  <si>
    <t>除颤起搏类</t>
  </si>
  <si>
    <t>内窥镜类</t>
  </si>
  <si>
    <t>生命体征监护类</t>
  </si>
  <si>
    <t>XXXXXX</t>
  </si>
  <si>
    <t>2010国家编码</t>
  </si>
  <si>
    <t>品牌/制造商简称</t>
  </si>
  <si>
    <r>
      <rPr>
        <sz val="11"/>
        <color theme="2"/>
        <rFont val="宋体"/>
        <family val="3"/>
        <charset val="134"/>
      </rPr>
      <t>维修负责人</t>
    </r>
    <r>
      <rPr>
        <sz val="11"/>
        <color theme="2"/>
        <rFont val="Franklin Gothic Medium"/>
        <family val="2"/>
      </rPr>
      <t>2</t>
    </r>
  </si>
  <si>
    <t>设备标准名称</t>
  </si>
  <si>
    <t>出厂日期</t>
  </si>
  <si>
    <t>#</t>
  </si>
  <si>
    <t>6820普通诊察器械</t>
  </si>
  <si>
    <t>6832医用高能射线设备</t>
  </si>
  <si>
    <t>维修类型</t>
  </si>
  <si>
    <t>当前状态</t>
  </si>
  <si>
    <t>正常</t>
  </si>
  <si>
    <t>停机</t>
  </si>
  <si>
    <t>限制功能使用</t>
  </si>
  <si>
    <t>v2.0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</si>
</sst>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7" formatCode="&quot;$&quot;#,##0.00_);\(&quot;$&quot;#,##0.00\)"/>
    <numFmt numFmtId="164" formatCode="&quot;Reorder&quot;;&quot;&quot;;&quot;&quot;"/>
    <numFmt numFmtId="165" formatCode="&quot;&quot;;&quot;&quot;;&quot;Clear Pick List Selected in B2&quot;"/>
    <numFmt numFmtId="166" formatCode="[$¥-804]#,##0.00"/>
    <numFmt numFmtId="167" formatCode="[$¥-804]#,##0.00;[$¥-804]\-#,##0.00"/>
    <numFmt numFmtId="168" formatCode="mm/dd/yy;@"/>
  </numFmts>
  <fonts count="41" x14ac:knownFonts="1">
    <font>
      <sz val="11"/>
      <color theme="3" tint="0.14993743705557422"/>
      <name val="Franklin Gothic Medium"/>
      <family val="2"/>
      <scheme val="minor"/>
    </font>
    <font>
      <sz val="11"/>
      <color theme="1"/>
      <name val="Franklin Gothic Medium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3" tint="0.14993743705557422"/>
      <name val="Franklin Gothic Medium"/>
      <family val="2"/>
      <scheme val="minor"/>
    </font>
    <font>
      <b/>
      <sz val="26"/>
      <color theme="3" tint="0.14996795556505021"/>
      <name val="Franklin Gothic Medium"/>
      <family val="2"/>
      <scheme val="major"/>
    </font>
    <font>
      <sz val="11"/>
      <color theme="0"/>
      <name val="Franklin Gothic Medium"/>
      <family val="2"/>
      <scheme val="major"/>
    </font>
    <font>
      <sz val="11"/>
      <color theme="3"/>
      <name val="Franklin Gothic Medium"/>
      <family val="2"/>
      <scheme val="major"/>
    </font>
    <font>
      <sz val="11"/>
      <color theme="3"/>
      <name val="Franklin Gothic Medium"/>
      <family val="2"/>
      <scheme val="minor"/>
    </font>
    <font>
      <b/>
      <sz val="11"/>
      <color theme="1"/>
      <name val="Franklin Gothic Medium"/>
      <family val="2"/>
      <scheme val="minor"/>
    </font>
    <font>
      <sz val="11"/>
      <color theme="3" tint="0.14990691854609822"/>
      <name val="Franklin Gothic Medium"/>
      <family val="2"/>
      <scheme val="minor"/>
    </font>
    <font>
      <sz val="11"/>
      <color theme="0"/>
      <name val="Franklin Gothic Medium"/>
      <family val="2"/>
      <scheme val="minor"/>
    </font>
    <font>
      <sz val="11"/>
      <color theme="4" tint="-0.499984740745262"/>
      <name val="Franklin Gothic Medium"/>
      <family val="2"/>
      <scheme val="minor"/>
    </font>
    <font>
      <sz val="16"/>
      <color theme="4" tint="-0.499984740745262"/>
      <name val="Franklin Gothic Medium"/>
      <family val="2"/>
      <scheme val="major"/>
    </font>
    <font>
      <i/>
      <sz val="10"/>
      <color theme="1"/>
      <name val="Franklin Gothic Medium"/>
      <family val="2"/>
      <scheme val="minor"/>
    </font>
    <font>
      <sz val="20"/>
      <color theme="3" tint="0.14993743705557422"/>
      <name val="Franklin Gothic Medium"/>
      <family val="2"/>
      <scheme val="minor"/>
    </font>
    <font>
      <sz val="10"/>
      <color theme="3" tint="0.14993743705557422"/>
      <name val="Franklin Gothic Medium"/>
      <family val="2"/>
      <scheme val="minor"/>
    </font>
    <font>
      <sz val="11"/>
      <color rgb="FFFF0000"/>
      <name val="Franklin Gothic Medium"/>
      <family val="2"/>
      <scheme val="minor"/>
    </font>
    <font>
      <sz val="9"/>
      <name val="Franklin Gothic Medium"/>
      <family val="3"/>
      <charset val="134"/>
      <scheme val="minor"/>
    </font>
    <font>
      <sz val="11"/>
      <color theme="3" tint="0.14993743705557422"/>
      <name val="宋体"/>
      <family val="3"/>
      <charset val="134"/>
    </font>
    <font>
      <sz val="11"/>
      <color theme="0"/>
      <name val="宋体"/>
      <family val="3"/>
      <charset val="134"/>
    </font>
    <font>
      <sz val="11"/>
      <color theme="3" tint="0.14993743705557422"/>
      <name val="Franklin Gothic Medium"/>
      <family val="2"/>
    </font>
    <font>
      <sz val="11"/>
      <color theme="0"/>
      <name val="Franklin Gothic Medium"/>
      <family val="2"/>
    </font>
    <font>
      <b/>
      <sz val="11"/>
      <color theme="3" tint="0.14993743705557422"/>
      <name val="宋体"/>
      <family val="3"/>
      <charset val="134"/>
    </font>
    <font>
      <sz val="11"/>
      <name val="宋体"/>
      <family val="3"/>
      <charset val="134"/>
    </font>
    <font>
      <sz val="12"/>
      <color theme="4" tint="-0.499984740745262"/>
      <name val="Franklin Gothic Medium"/>
      <family val="2"/>
    </font>
    <font>
      <sz val="12"/>
      <color indexed="57"/>
      <name val="Franklin Gothic Medium"/>
      <family val="3"/>
      <charset val="134"/>
    </font>
    <font>
      <sz val="11"/>
      <color indexed="63"/>
      <name val="Franklin Gothic Medium"/>
      <family val="3"/>
      <charset val="134"/>
    </font>
    <font>
      <sz val="12"/>
      <color theme="3" tint="0.14993743705557422"/>
      <name val="Franklin Gothic Medium"/>
      <family val="2"/>
    </font>
    <font>
      <sz val="11"/>
      <color theme="3" tint="0.14993743705557422"/>
      <name val="Franklin Gothic Medium"/>
      <family val="3"/>
      <charset val="134"/>
      <scheme val="minor"/>
    </font>
    <font>
      <sz val="12"/>
      <color theme="3" tint="0.14993743705557422"/>
      <name val="宋体"/>
      <family val="3"/>
      <charset val="134"/>
    </font>
    <font>
      <b/>
      <sz val="11"/>
      <color rgb="FFFFFFFF"/>
      <name val="微软雅黑"/>
      <family val="2"/>
      <charset val="134"/>
    </font>
    <font>
      <sz val="11"/>
      <color rgb="FFFFFFFF"/>
      <name val="微软雅黑"/>
      <family val="2"/>
      <charset val="134"/>
    </font>
    <font>
      <sz val="11"/>
      <color rgb="FF000000"/>
      <name val="Calibri"/>
      <family val="2"/>
    </font>
    <font>
      <sz val="11"/>
      <color rgb="FF000000"/>
      <name val="微软雅黑"/>
      <family val="2"/>
      <charset val="134"/>
    </font>
    <font>
      <sz val="11"/>
      <color indexed="8"/>
      <name val="宋体"/>
      <family val="3"/>
      <charset val="134"/>
    </font>
    <font>
      <sz val="11"/>
      <color theme="1"/>
      <name val="Calibri"/>
      <family val="2"/>
    </font>
    <font>
      <sz val="9"/>
      <name val="Franklin Gothic Medium"/>
      <family val="3"/>
      <charset val="134"/>
      <scheme val="minor"/>
    </font>
    <font>
      <sz val="11"/>
      <color theme="3" tint="0.14993743705557422"/>
      <name val="Franklin Gothic Medium"/>
      <family val="3"/>
      <charset val="134"/>
      <scheme val="minor"/>
    </font>
    <font>
      <sz val="11"/>
      <color theme="2"/>
      <name val="Franklin Gothic Medium"/>
      <family val="2"/>
    </font>
    <font>
      <sz val="11"/>
      <color theme="2"/>
      <name val="宋体"/>
      <family val="3"/>
      <charset val="134"/>
    </font>
  </fonts>
  <fills count="11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2F75B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medium">
        <color theme="4" tint="-0.499984740745262"/>
      </bottom>
      <diagonal/>
    </border>
    <border>
      <left/>
      <right/>
      <top style="thin">
        <color theme="4" tint="-0.499984740745262"/>
      </top>
      <bottom style="double">
        <color theme="4" tint="-0.499984740745262"/>
      </bottom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16">
    <xf numFmtId="0" fontId="0" fillId="0" borderId="0">
      <alignment vertical="center"/>
    </xf>
    <xf numFmtId="164" fontId="10" fillId="0" borderId="0">
      <alignment horizontal="center" vertical="center"/>
    </xf>
    <xf numFmtId="0" fontId="12" fillId="0" borderId="0" applyNumberFormat="0" applyProtection="0">
      <alignment horizontal="center"/>
    </xf>
    <xf numFmtId="0" fontId="6" fillId="2" borderId="0" applyNumberFormat="0" applyProtection="0">
      <alignment horizontal="left" vertical="center" indent="1"/>
    </xf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8" fillId="0" borderId="0" applyNumberFormat="0" applyFill="0" applyBorder="0" applyAlignment="0" applyProtection="0"/>
    <xf numFmtId="0" fontId="12" fillId="0" borderId="0" applyNumberFormat="0" applyProtection="0">
      <alignment horizontal="center"/>
    </xf>
    <xf numFmtId="0" fontId="11" fillId="2" borderId="0" applyNumberFormat="0" applyProtection="0">
      <alignment horizontal="right" indent="1"/>
    </xf>
    <xf numFmtId="1" fontId="4" fillId="0" borderId="0">
      <alignment horizontal="center" vertical="center"/>
    </xf>
    <xf numFmtId="0" fontId="4" fillId="0" borderId="0">
      <alignment horizontal="left" vertical="center" wrapText="1" indent="1"/>
    </xf>
    <xf numFmtId="7" fontId="4" fillId="0" borderId="0">
      <alignment horizontal="right" vertical="center"/>
    </xf>
    <xf numFmtId="0" fontId="5" fillId="0" borderId="1" applyNumberFormat="0" applyFill="0" applyAlignment="0" applyProtection="0"/>
    <xf numFmtId="0" fontId="9" fillId="0" borderId="2" applyNumberFormat="0" applyFill="0" applyAlignment="0" applyProtection="0"/>
    <xf numFmtId="0" fontId="13" fillId="0" borderId="0" applyNumberFormat="0" applyFill="0" applyBorder="0" applyProtection="0">
      <alignment horizontal="left" vertical="top"/>
    </xf>
    <xf numFmtId="0" fontId="1" fillId="0" borderId="0"/>
  </cellStyleXfs>
  <cellXfs count="133">
    <xf numFmtId="0" fontId="0" fillId="0" borderId="0" xfId="0">
      <alignment vertical="center"/>
    </xf>
    <xf numFmtId="0" fontId="5" fillId="0" borderId="1" xfId="12" applyAlignment="1">
      <alignment vertical="center"/>
    </xf>
    <xf numFmtId="0" fontId="7" fillId="0" borderId="0" xfId="4"/>
    <xf numFmtId="0" fontId="5" fillId="0" borderId="1" xfId="12"/>
    <xf numFmtId="0" fontId="7" fillId="0" borderId="0" xfId="4" applyAlignment="1"/>
    <xf numFmtId="0" fontId="5" fillId="0" borderId="1" xfId="12" applyAlignment="1"/>
    <xf numFmtId="0" fontId="0" fillId="0" borderId="0" xfId="0" applyFont="1" applyFill="1" applyBorder="1" applyAlignment="1">
      <alignment horizontal="left" vertical="center" indent="1"/>
    </xf>
    <xf numFmtId="0" fontId="6" fillId="2" borderId="0" xfId="3">
      <alignment horizontal="left" vertical="center" indent="1"/>
    </xf>
    <xf numFmtId="0" fontId="14" fillId="0" borderId="0" xfId="0" applyFont="1" applyAlignment="1">
      <alignment vertical="center"/>
    </xf>
    <xf numFmtId="0" fontId="12" fillId="0" borderId="0" xfId="7">
      <alignment horizontal="center"/>
    </xf>
    <xf numFmtId="0" fontId="13" fillId="0" borderId="0" xfId="14">
      <alignment horizontal="left" vertical="top"/>
    </xf>
    <xf numFmtId="0" fontId="4" fillId="0" borderId="0" xfId="10">
      <alignment horizontal="left" vertical="center" wrapText="1" indent="1"/>
    </xf>
    <xf numFmtId="0" fontId="4" fillId="0" borderId="0" xfId="10" applyFont="1">
      <alignment horizontal="left" vertical="center" wrapText="1" indent="1"/>
    </xf>
    <xf numFmtId="165" fontId="0" fillId="0" borderId="0" xfId="0" applyNumberFormat="1">
      <alignment vertical="center"/>
    </xf>
    <xf numFmtId="0" fontId="4" fillId="0" borderId="0" xfId="10" applyFill="1">
      <alignment horizontal="left" vertical="center" wrapText="1" indent="1"/>
    </xf>
    <xf numFmtId="0" fontId="4" fillId="0" borderId="0" xfId="10" applyFont="1" applyFill="1">
      <alignment horizontal="left" vertical="center" wrapText="1" indent="1"/>
    </xf>
    <xf numFmtId="49" fontId="4" fillId="0" borderId="0" xfId="9" applyNumberFormat="1" applyFont="1">
      <alignment horizontal="center" vertical="center"/>
    </xf>
    <xf numFmtId="49" fontId="4" fillId="0" borderId="0" xfId="11" applyNumberFormat="1" applyFont="1">
      <alignment horizontal="right" vertical="center"/>
    </xf>
    <xf numFmtId="167" fontId="4" fillId="0" borderId="0" xfId="11" applyNumberFormat="1">
      <alignment horizontal="right" vertical="center"/>
    </xf>
    <xf numFmtId="37" fontId="4" fillId="0" borderId="0" xfId="11" applyNumberFormat="1">
      <alignment horizontal="right" vertical="center"/>
    </xf>
    <xf numFmtId="168" fontId="4" fillId="0" borderId="0" xfId="11" applyNumberFormat="1">
      <alignment horizontal="right" vertical="center"/>
    </xf>
    <xf numFmtId="168" fontId="4" fillId="3" borderId="3" xfId="11" applyNumberFormat="1" applyFont="1" applyFill="1" applyBorder="1" applyAlignment="1">
      <alignment horizontal="right" vertical="center"/>
    </xf>
    <xf numFmtId="0" fontId="0" fillId="4" borderId="0" xfId="0" applyFill="1">
      <alignment vertical="center"/>
    </xf>
    <xf numFmtId="168" fontId="4" fillId="0" borderId="0" xfId="11" applyNumberFormat="1" applyFill="1">
      <alignment horizontal="right" vertical="center"/>
    </xf>
    <xf numFmtId="0" fontId="15" fillId="4" borderId="0" xfId="0" applyFont="1" applyFill="1">
      <alignment vertical="center"/>
    </xf>
    <xf numFmtId="0" fontId="16" fillId="5" borderId="0" xfId="0" applyFont="1" applyFill="1">
      <alignment vertical="center"/>
    </xf>
    <xf numFmtId="49" fontId="16" fillId="5" borderId="4" xfId="10" applyNumberFormat="1" applyFont="1" applyFill="1" applyBorder="1" applyAlignment="1">
      <alignment horizontal="left" vertical="center" wrapText="1" indent="1"/>
    </xf>
    <xf numFmtId="0" fontId="0" fillId="3" borderId="0" xfId="0" applyFill="1">
      <alignment vertical="center"/>
    </xf>
    <xf numFmtId="49" fontId="0" fillId="0" borderId="0" xfId="11" applyNumberFormat="1" applyFont="1">
      <alignment horizontal="right" vertical="center"/>
    </xf>
    <xf numFmtId="0" fontId="21" fillId="0" borderId="0" xfId="10" applyFont="1">
      <alignment horizontal="left" vertical="center" wrapText="1" indent="1"/>
    </xf>
    <xf numFmtId="0" fontId="22" fillId="2" borderId="0" xfId="3" applyFont="1">
      <alignment horizontal="left" vertical="center" indent="1"/>
    </xf>
    <xf numFmtId="0" fontId="22" fillId="2" borderId="0" xfId="3" applyFont="1" applyAlignment="1">
      <alignment horizontal="center" vertical="center"/>
    </xf>
    <xf numFmtId="49" fontId="22" fillId="2" borderId="0" xfId="3" applyNumberFormat="1" applyFont="1">
      <alignment horizontal="left" vertical="center" indent="1"/>
    </xf>
    <xf numFmtId="0" fontId="21" fillId="0" borderId="0" xfId="0" applyFont="1">
      <alignment vertical="center"/>
    </xf>
    <xf numFmtId="0" fontId="0" fillId="0" borderId="0" xfId="10" applyFont="1">
      <alignment horizontal="left" vertical="center" wrapText="1" indent="1"/>
    </xf>
    <xf numFmtId="49" fontId="0" fillId="0" borderId="0" xfId="10" applyNumberFormat="1" applyFont="1">
      <alignment horizontal="left" vertical="center" wrapText="1" indent="1"/>
    </xf>
    <xf numFmtId="167" fontId="0" fillId="0" borderId="0" xfId="11" applyNumberFormat="1" applyFont="1">
      <alignment horizontal="right" vertical="center"/>
    </xf>
    <xf numFmtId="49" fontId="0" fillId="0" borderId="0" xfId="9" applyNumberFormat="1" applyFont="1">
      <alignment horizontal="center" vertical="center"/>
    </xf>
    <xf numFmtId="0" fontId="23" fillId="6" borderId="5" xfId="0" applyFont="1" applyFill="1" applyBorder="1">
      <alignment vertical="center"/>
    </xf>
    <xf numFmtId="0" fontId="24" fillId="7" borderId="5" xfId="3" applyFont="1" applyFill="1" applyBorder="1">
      <alignment horizontal="left" vertical="center" indent="1"/>
    </xf>
    <xf numFmtId="3" fontId="25" fillId="0" borderId="5" xfId="14" applyNumberFormat="1" applyFont="1" applyBorder="1" applyAlignment="1">
      <alignment horizontal="center" vertical="top"/>
    </xf>
    <xf numFmtId="0" fontId="0" fillId="0" borderId="5" xfId="0" applyBorder="1">
      <alignment vertical="center"/>
    </xf>
    <xf numFmtId="166" fontId="25" fillId="0" borderId="5" xfId="14" applyNumberFormat="1" applyFont="1" applyBorder="1" applyAlignment="1">
      <alignment horizontal="center" vertical="top"/>
    </xf>
    <xf numFmtId="0" fontId="24" fillId="0" borderId="5" xfId="3" applyFont="1" applyFill="1" applyBorder="1">
      <alignment horizontal="left" vertical="center" indent="1"/>
    </xf>
    <xf numFmtId="0" fontId="25" fillId="0" borderId="5" xfId="14" applyFont="1" applyBorder="1" applyAlignment="1">
      <alignment horizontal="center" vertical="top"/>
    </xf>
    <xf numFmtId="0" fontId="24" fillId="8" borderId="5" xfId="3" applyFont="1" applyFill="1" applyBorder="1">
      <alignment horizontal="left" vertical="center" indent="1"/>
    </xf>
    <xf numFmtId="0" fontId="28" fillId="0" borderId="5" xfId="10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4" fillId="9" borderId="5" xfId="3" applyFont="1" applyFill="1" applyBorder="1">
      <alignment horizontal="left" vertical="center" indent="1"/>
    </xf>
    <xf numFmtId="0" fontId="29" fillId="0" borderId="5" xfId="0" applyFont="1" applyBorder="1">
      <alignment vertical="center"/>
    </xf>
    <xf numFmtId="49" fontId="24" fillId="8" borderId="5" xfId="3" applyNumberFormat="1" applyFont="1" applyFill="1" applyBorder="1">
      <alignment horizontal="left" vertical="center" indent="1"/>
    </xf>
    <xf numFmtId="49" fontId="28" fillId="0" borderId="5" xfId="0" applyNumberFormat="1" applyFont="1" applyBorder="1" applyAlignment="1">
      <alignment horizontal="center" vertical="center"/>
    </xf>
    <xf numFmtId="0" fontId="19" fillId="0" borderId="0" xfId="0" applyFont="1">
      <alignment vertical="center"/>
    </xf>
    <xf numFmtId="0" fontId="19" fillId="7" borderId="0" xfId="0" applyFont="1" applyFill="1">
      <alignment vertical="center"/>
    </xf>
    <xf numFmtId="0" fontId="30" fillId="0" borderId="0" xfId="0" applyFont="1" applyBorder="1">
      <alignment vertical="center"/>
    </xf>
    <xf numFmtId="0" fontId="19" fillId="8" borderId="0" xfId="0" applyFont="1" applyFill="1">
      <alignment vertical="center"/>
    </xf>
    <xf numFmtId="0" fontId="19" fillId="9" borderId="0" xfId="0" applyFont="1" applyFill="1">
      <alignment vertical="center"/>
    </xf>
    <xf numFmtId="0" fontId="1" fillId="0" borderId="0" xfId="15"/>
    <xf numFmtId="0" fontId="32" fillId="10" borderId="7" xfId="15" applyFont="1" applyFill="1" applyBorder="1" applyAlignment="1">
      <alignment horizontal="center" vertical="center"/>
    </xf>
    <xf numFmtId="0" fontId="32" fillId="10" borderId="8" xfId="15" applyFont="1" applyFill="1" applyBorder="1" applyAlignment="1">
      <alignment horizontal="center" vertical="center"/>
    </xf>
    <xf numFmtId="0" fontId="33" fillId="0" borderId="9" xfId="15" applyFont="1" applyBorder="1" applyAlignment="1">
      <alignment horizontal="right" vertical="center"/>
    </xf>
    <xf numFmtId="0" fontId="34" fillId="0" borderId="5" xfId="15" applyFont="1" applyBorder="1" applyAlignment="1">
      <alignment vertical="center"/>
    </xf>
    <xf numFmtId="0" fontId="33" fillId="0" borderId="5" xfId="15" applyFont="1" applyFill="1" applyBorder="1" applyAlignment="1">
      <alignment vertical="center"/>
    </xf>
    <xf numFmtId="0" fontId="33" fillId="0" borderId="10" xfId="15" applyFont="1" applyFill="1" applyBorder="1" applyAlignment="1">
      <alignment vertical="center"/>
    </xf>
    <xf numFmtId="0" fontId="33" fillId="0" borderId="11" xfId="15" applyFont="1" applyBorder="1" applyAlignment="1">
      <alignment horizontal="right" vertical="center"/>
    </xf>
    <xf numFmtId="0" fontId="34" fillId="0" borderId="12" xfId="15" applyFont="1" applyBorder="1" applyAlignment="1">
      <alignment vertical="center"/>
    </xf>
    <xf numFmtId="0" fontId="33" fillId="0" borderId="12" xfId="15" applyFont="1" applyFill="1" applyBorder="1" applyAlignment="1">
      <alignment vertical="center"/>
    </xf>
    <xf numFmtId="0" fontId="33" fillId="0" borderId="13" xfId="15" applyFont="1" applyFill="1" applyBorder="1" applyAlignment="1">
      <alignment vertical="center"/>
    </xf>
    <xf numFmtId="0" fontId="33" fillId="0" borderId="0" xfId="15" applyFont="1" applyBorder="1" applyAlignment="1">
      <alignment horizontal="right" vertical="center"/>
    </xf>
    <xf numFmtId="0" fontId="34" fillId="0" borderId="0" xfId="15" applyFont="1" applyBorder="1" applyAlignment="1">
      <alignment vertical="center"/>
    </xf>
    <xf numFmtId="0" fontId="33" fillId="0" borderId="0" xfId="15" applyFont="1" applyFill="1" applyBorder="1" applyAlignment="1">
      <alignment vertical="center"/>
    </xf>
    <xf numFmtId="0" fontId="1" fillId="0" borderId="0" xfId="15" applyBorder="1"/>
    <xf numFmtId="0" fontId="32" fillId="8" borderId="16" xfId="15" applyFont="1" applyFill="1" applyBorder="1" applyAlignment="1">
      <alignment horizontal="center" vertical="center"/>
    </xf>
    <xf numFmtId="0" fontId="32" fillId="8" borderId="17" xfId="15" applyFont="1" applyFill="1" applyBorder="1" applyAlignment="1">
      <alignment horizontal="center" vertical="center"/>
    </xf>
    <xf numFmtId="0" fontId="33" fillId="0" borderId="18" xfId="15" applyFont="1" applyBorder="1" applyAlignment="1">
      <alignment horizontal="right" vertical="center"/>
    </xf>
    <xf numFmtId="0" fontId="34" fillId="0" borderId="19" xfId="15" applyFont="1" applyBorder="1" applyAlignment="1">
      <alignment vertical="center"/>
    </xf>
    <xf numFmtId="0" fontId="33" fillId="0" borderId="19" xfId="15" applyFont="1" applyBorder="1" applyAlignment="1">
      <alignment vertical="center"/>
    </xf>
    <xf numFmtId="0" fontId="33" fillId="0" borderId="20" xfId="15" applyFont="1" applyBorder="1" applyAlignment="1">
      <alignment vertical="center"/>
    </xf>
    <xf numFmtId="0" fontId="33" fillId="0" borderId="5" xfId="15" applyFont="1" applyBorder="1" applyAlignment="1">
      <alignment vertical="center"/>
    </xf>
    <xf numFmtId="0" fontId="33" fillId="0" borderId="10" xfId="15" applyFont="1" applyBorder="1" applyAlignment="1">
      <alignment vertical="center"/>
    </xf>
    <xf numFmtId="0" fontId="33" fillId="0" borderId="12" xfId="15" applyFont="1" applyBorder="1" applyAlignment="1">
      <alignment vertical="center"/>
    </xf>
    <xf numFmtId="0" fontId="33" fillId="0" borderId="13" xfId="15" applyFont="1" applyBorder="1" applyAlignment="1">
      <alignment vertical="center"/>
    </xf>
    <xf numFmtId="0" fontId="36" fillId="0" borderId="0" xfId="15" applyFont="1" applyAlignment="1">
      <alignment vertical="center"/>
    </xf>
    <xf numFmtId="0" fontId="32" fillId="9" borderId="16" xfId="15" applyFont="1" applyFill="1" applyBorder="1" applyAlignment="1">
      <alignment horizontal="center" vertical="center"/>
    </xf>
    <xf numFmtId="0" fontId="32" fillId="9" borderId="17" xfId="15" applyFont="1" applyFill="1" applyBorder="1" applyAlignment="1">
      <alignment horizontal="center" vertical="center"/>
    </xf>
    <xf numFmtId="0" fontId="24" fillId="0" borderId="19" xfId="3" applyFont="1" applyFill="1" applyBorder="1">
      <alignment horizontal="left" vertical="center" indent="1"/>
    </xf>
    <xf numFmtId="0" fontId="33" fillId="0" borderId="21" xfId="15" applyFont="1" applyFill="1" applyBorder="1" applyAlignment="1">
      <alignment vertical="center"/>
    </xf>
    <xf numFmtId="0" fontId="33" fillId="0" borderId="22" xfId="15" applyFont="1" applyFill="1" applyBorder="1" applyAlignment="1">
      <alignment vertical="center"/>
    </xf>
    <xf numFmtId="0" fontId="1" fillId="0" borderId="19" xfId="15" applyBorder="1"/>
    <xf numFmtId="0" fontId="1" fillId="0" borderId="20" xfId="15" applyBorder="1"/>
    <xf numFmtId="0" fontId="24" fillId="0" borderId="12" xfId="3" applyFont="1" applyFill="1" applyBorder="1">
      <alignment horizontal="left" vertical="center" indent="1"/>
    </xf>
    <xf numFmtId="0" fontId="1" fillId="0" borderId="12" xfId="15" applyBorder="1"/>
    <xf numFmtId="0" fontId="1" fillId="0" borderId="13" xfId="15" applyBorder="1"/>
    <xf numFmtId="0" fontId="20" fillId="2" borderId="0" xfId="3" applyFont="1">
      <alignment horizontal="left" vertical="center" indent="1"/>
    </xf>
    <xf numFmtId="0" fontId="19" fillId="0" borderId="0" xfId="10" applyFont="1">
      <alignment horizontal="left" vertical="center" wrapText="1" indent="1"/>
    </xf>
    <xf numFmtId="0" fontId="38" fillId="0" borderId="0" xfId="0" applyFont="1">
      <alignment vertical="center"/>
    </xf>
    <xf numFmtId="0" fontId="38" fillId="4" borderId="0" xfId="0" applyFont="1" applyFill="1">
      <alignment vertical="center"/>
    </xf>
    <xf numFmtId="0" fontId="38" fillId="0" borderId="0" xfId="0" applyFont="1">
      <alignment vertical="center"/>
    </xf>
    <xf numFmtId="0" fontId="38" fillId="0" borderId="0" xfId="0" applyFont="1">
      <alignment vertical="center"/>
    </xf>
    <xf numFmtId="0" fontId="38" fillId="0" borderId="0" xfId="0" applyFont="1">
      <alignment vertical="center"/>
    </xf>
    <xf numFmtId="0" fontId="38" fillId="4" borderId="0" xfId="0" applyFont="1" applyFill="1">
      <alignment vertical="center"/>
    </xf>
    <xf numFmtId="0" fontId="38" fillId="0" borderId="0" xfId="0" applyFont="1">
      <alignment vertical="center"/>
    </xf>
    <xf numFmtId="0" fontId="38" fillId="4" borderId="0" xfId="0" applyFont="1" applyFill="1">
      <alignment vertical="center"/>
    </xf>
    <xf numFmtId="0" fontId="38" fillId="0" borderId="0" xfId="0" applyFont="1">
      <alignment vertical="center"/>
    </xf>
    <xf numFmtId="0" fontId="38" fillId="4" borderId="0" xfId="0" applyFont="1" applyFill="1">
      <alignment vertical="center"/>
    </xf>
    <xf numFmtId="0" fontId="0" fillId="0" borderId="0" xfId="0">
      <alignment vertical="center"/>
    </xf>
    <xf numFmtId="0" fontId="5" fillId="0" borderId="1" xfId="12" applyAlignment="1">
      <alignment vertical="center"/>
    </xf>
    <xf numFmtId="0" fontId="38" fillId="0" borderId="0" xfId="0" applyFont="1">
      <alignment vertical="center"/>
    </xf>
    <xf numFmtId="0" fontId="38" fillId="4" borderId="0" xfId="0" applyFont="1" applyFill="1">
      <alignment vertical="center"/>
    </xf>
    <xf numFmtId="49" fontId="20" fillId="2" borderId="0" xfId="3" applyNumberFormat="1" applyFont="1">
      <alignment horizontal="left" vertical="center" indent="1"/>
    </xf>
    <xf numFmtId="0" fontId="38" fillId="0" borderId="0" xfId="10" applyFont="1">
      <alignment horizontal="left" vertical="center" wrapText="1" indent="1"/>
    </xf>
    <xf numFmtId="49" fontId="0" fillId="0" borderId="0" xfId="11" applyNumberFormat="1" applyFont="1" applyFill="1">
      <alignment horizontal="right" vertical="center"/>
    </xf>
    <xf numFmtId="49" fontId="5" fillId="0" borderId="1" xfId="12" applyNumberFormat="1" applyAlignment="1">
      <alignment vertical="center"/>
    </xf>
    <xf numFmtId="49" fontId="0" fillId="0" borderId="0" xfId="0" applyNumberFormat="1">
      <alignment vertical="center"/>
    </xf>
    <xf numFmtId="49" fontId="4" fillId="0" borderId="0" xfId="11" applyNumberFormat="1" applyFill="1">
      <alignment horizontal="right" vertical="center"/>
    </xf>
    <xf numFmtId="0" fontId="0" fillId="0" borderId="0" xfId="0" applyAlignment="1">
      <alignment horizontal="left" vertical="center"/>
    </xf>
    <xf numFmtId="0" fontId="29" fillId="0" borderId="0" xfId="0" applyFont="1">
      <alignment vertical="center"/>
    </xf>
    <xf numFmtId="0" fontId="0" fillId="0" borderId="0" xfId="0" applyFont="1">
      <alignment vertical="center"/>
    </xf>
    <xf numFmtId="0" fontId="39" fillId="0" borderId="0" xfId="10" applyFont="1">
      <alignment horizontal="left" vertical="center" wrapText="1" indent="1"/>
    </xf>
    <xf numFmtId="0" fontId="0" fillId="0" borderId="0" xfId="10" applyFont="1" applyFill="1">
      <alignment horizontal="left" vertical="center" wrapText="1" indent="1"/>
    </xf>
    <xf numFmtId="3" fontId="0" fillId="0" borderId="0" xfId="14" applyNumberFormat="1" applyFont="1">
      <alignment horizontal="left" vertical="top"/>
    </xf>
    <xf numFmtId="166" fontId="0" fillId="0" borderId="0" xfId="14" applyNumberFormat="1" applyFont="1">
      <alignment horizontal="left" vertical="top"/>
    </xf>
    <xf numFmtId="0" fontId="29" fillId="4" borderId="0" xfId="0" applyFont="1" applyFill="1">
      <alignment vertical="center"/>
    </xf>
    <xf numFmtId="0" fontId="17" fillId="0" borderId="0" xfId="0" applyFont="1" applyAlignment="1">
      <alignment vertical="center" wrapText="1"/>
    </xf>
    <xf numFmtId="0" fontId="17" fillId="0" borderId="0" xfId="0" applyFont="1" applyAlignment="1">
      <alignment vertical="center"/>
    </xf>
    <xf numFmtId="0" fontId="31" fillId="10" borderId="6" xfId="15" applyFont="1" applyFill="1" applyBorder="1" applyAlignment="1">
      <alignment horizontal="center" vertical="center"/>
    </xf>
    <xf numFmtId="0" fontId="31" fillId="8" borderId="14" xfId="15" applyFont="1" applyFill="1" applyBorder="1" applyAlignment="1">
      <alignment horizontal="center" vertical="center"/>
    </xf>
    <xf numFmtId="0" fontId="31" fillId="8" borderId="15" xfId="15" applyFont="1" applyFill="1" applyBorder="1" applyAlignment="1">
      <alignment horizontal="center" vertical="center"/>
    </xf>
    <xf numFmtId="0" fontId="31" fillId="8" borderId="8" xfId="15" applyFont="1" applyFill="1" applyBorder="1" applyAlignment="1">
      <alignment horizontal="center" vertical="center"/>
    </xf>
    <xf numFmtId="0" fontId="31" fillId="9" borderId="14" xfId="15" applyFont="1" applyFill="1" applyBorder="1" applyAlignment="1">
      <alignment horizontal="center" vertical="center"/>
    </xf>
    <xf numFmtId="0" fontId="31" fillId="9" borderId="15" xfId="15" applyFont="1" applyFill="1" applyBorder="1" applyAlignment="1">
      <alignment horizontal="center" vertical="center"/>
    </xf>
    <xf numFmtId="0" fontId="31" fillId="9" borderId="8" xfId="15" applyFont="1" applyFill="1" applyBorder="1" applyAlignment="1">
      <alignment horizontal="center" vertical="center"/>
    </xf>
    <xf numFmtId="0" fontId="23" fillId="6" borderId="5" xfId="0" applyFont="1" applyFill="1" applyBorder="1" applyAlignment="1">
      <alignment horizontal="center" vertical="center"/>
    </xf>
  </cellXfs>
  <cellStyles count="16">
    <cellStyle name="Flag Column" xfId="1"/>
    <cellStyle name="Followed Hyperlink" xfId="2" builtinId="9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Hyperlink" xfId="7" builtinId="8" customBuiltin="1"/>
    <cellStyle name="Linked Cell" xfId="8" builtinId="24" customBuiltin="1"/>
    <cellStyle name="Normal" xfId="0" builtinId="0" customBuiltin="1"/>
    <cellStyle name="Table details center aligned" xfId="9"/>
    <cellStyle name="Table details left aligned" xfId="10"/>
    <cellStyle name="Table details right aligned" xfId="11"/>
    <cellStyle name="Title" xfId="12" builtinId="15" customBuiltin="1"/>
    <cellStyle name="Total" xfId="13" builtinId="25" customBuiltin="1"/>
    <cellStyle name="Total counts" xfId="14"/>
    <cellStyle name="常规 2" xfId="15"/>
  </cellStyles>
  <dxfs count="113"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alignment vertical="center" textRotation="0" wrapText="0" indent="0" justifyLastLine="0" shrinkToFit="0" readingOrder="0"/>
    </dxf>
    <dxf>
      <numFmt numFmtId="168" formatCode="mm/dd/yy;@"/>
    </dxf>
    <dxf>
      <alignment vertical="center" textRotation="0" wrapText="0" indent="0" justifyLastLine="0" shrinkToFit="0" readingOrder="0"/>
    </dxf>
    <dxf>
      <numFmt numFmtId="168" formatCode="mm/dd/yy;@"/>
    </dxf>
    <dxf>
      <alignment vertical="center" textRotation="0" wrapText="0" indent="0" justifyLastLine="0" shrinkToFit="0" readingOrder="0"/>
    </dxf>
    <dxf>
      <numFmt numFmtId="168" formatCode="mm/dd/yy;@"/>
    </dxf>
    <dxf>
      <alignment vertical="center" textRotation="0" wrapText="0" indent="0" justifyLastLine="0" shrinkToFit="0" readingOrder="0"/>
    </dxf>
    <dxf>
      <numFmt numFmtId="168" formatCode="mm/dd/yy;@"/>
    </dxf>
    <dxf>
      <alignment vertical="center" textRotation="0" wrapText="0" indent="0" justifyLastLine="0" shrinkToFit="0" readingOrder="0"/>
    </dxf>
    <dxf>
      <numFmt numFmtId="168" formatCode="mm/dd/yy;@"/>
    </dxf>
    <dxf>
      <alignment vertical="center" textRotation="0" wrapText="0" indent="0" justifyLastLine="0" shrinkToFit="0" readingOrder="0"/>
    </dxf>
    <dxf>
      <numFmt numFmtId="168" formatCode="mm/dd/yy;@"/>
    </dxf>
    <dxf>
      <alignment vertical="center" textRotation="0" wrapText="0" indent="0" justifyLastLine="0" shrinkToFit="0" readingOrder="0"/>
    </dxf>
    <dxf>
      <numFmt numFmtId="168" formatCode="mm/dd/yy;@"/>
    </dxf>
    <dxf>
      <alignment vertical="center" textRotation="0" wrapText="0" indent="0" justifyLastLine="0" shrinkToFit="0" readingOrder="0"/>
    </dxf>
    <dxf>
      <numFmt numFmtId="168" formatCode="mm/dd/yy;@"/>
    </dxf>
    <dxf>
      <alignment vertical="center" textRotation="0" wrapText="0" indent="0" justifyLastLine="0" shrinkToFit="0" readingOrder="0"/>
    </dxf>
    <dxf>
      <numFmt numFmtId="30" formatCode="@"/>
    </dxf>
    <dxf>
      <alignment vertical="center" textRotation="0" wrapText="0" indent="0" justifyLastLine="0" shrinkToFit="0" readingOrder="0"/>
    </dxf>
    <dxf>
      <numFmt numFmtId="30" formatCode="@"/>
    </dxf>
    <dxf>
      <alignment vertical="center" textRotation="0" wrapText="0" indent="0" justifyLastLine="0" shrinkToFit="0" readingOrder="0"/>
    </dxf>
    <dxf>
      <numFmt numFmtId="30" formatCode="@"/>
    </dxf>
    <dxf>
      <alignment vertical="center" textRotation="0" wrapText="0" indent="0" justifyLastLine="0" shrinkToFit="0" readingOrder="0"/>
    </dxf>
    <dxf>
      <numFmt numFmtId="30" formatCode="@"/>
    </dxf>
    <dxf>
      <alignment vertical="center" textRotation="0" wrapText="0" indent="0" justifyLastLine="0" shrinkToFit="0" readingOrder="0"/>
    </dxf>
    <dxf>
      <numFmt numFmtId="30" formatCode="@"/>
    </dxf>
    <dxf>
      <alignment vertical="center" textRotation="0" wrapText="0" indent="0" justifyLastLine="0" shrinkToFit="0" readingOrder="0"/>
    </dxf>
    <dxf>
      <numFmt numFmtId="30" formatCode="@"/>
    </dxf>
    <dxf>
      <alignment vertical="center" textRotation="0" wrapText="0" indent="0" justifyLastLine="0" shrinkToFit="0" readingOrder="0"/>
    </dxf>
    <dxf>
      <numFmt numFmtId="30" formatCode="@"/>
    </dxf>
    <dxf>
      <alignment vertical="center" textRotation="0" wrapText="0" indent="0" justifyLastLine="0" shrinkToFit="0" readingOrder="0"/>
    </dxf>
    <dxf>
      <numFmt numFmtId="168" formatCode="mm/dd/yy;@"/>
    </dxf>
    <dxf>
      <alignment vertical="center" textRotation="0" wrapText="0" indent="0" justifyLastLine="0" shrinkToFit="0" readingOrder="0"/>
    </dxf>
    <dxf>
      <numFmt numFmtId="168" formatCode="mm/dd/yy;@"/>
    </dxf>
    <dxf>
      <alignment vertical="center" textRotation="0" wrapText="0" indent="0" justifyLastLine="0" shrinkToFit="0" readingOrder="0"/>
    </dxf>
    <dxf>
      <numFmt numFmtId="168" formatCode="mm/dd/yy;@"/>
    </dxf>
    <dxf>
      <alignment vertical="center" textRotation="0" wrapText="0" indent="0" justifyLastLine="0" shrinkToFit="0" readingOrder="0"/>
    </dxf>
    <dxf>
      <numFmt numFmtId="168" formatCode="mm/dd/yy;@"/>
    </dxf>
    <dxf>
      <alignment vertical="center" textRotation="0" wrapText="0" indent="0" justifyLastLine="0" shrinkToFit="0" readingOrder="0"/>
    </dxf>
    <dxf>
      <numFmt numFmtId="168" formatCode="mm/dd/yy;@"/>
    </dxf>
    <dxf>
      <alignment vertical="center" textRotation="0" wrapText="0" indent="0" justifyLastLine="0" shrinkToFit="0" readingOrder="0"/>
    </dxf>
    <dxf>
      <numFmt numFmtId="168" formatCode="mm/dd/yy;@"/>
      <fill>
        <patternFill patternType="none">
          <fgColor indexed="64"/>
          <bgColor indexed="65"/>
        </patternFill>
      </fill>
    </dxf>
    <dxf>
      <alignment vertical="center" textRotation="0" wrapText="0" indent="0" justifyLastLine="0" shrinkToFit="0" readingOrder="0"/>
    </dxf>
    <dxf>
      <numFmt numFmtId="168" formatCode="mm/dd/yy;@"/>
    </dxf>
    <dxf>
      <alignment vertical="center" textRotation="0" wrapText="0" indent="0" justifyLastLine="0" shrinkToFit="0" readingOrder="0"/>
    </dxf>
    <dxf>
      <numFmt numFmtId="168" formatCode="mm/dd/yy;@"/>
    </dxf>
    <dxf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14993743705557422"/>
        <name val="Franklin Gothic Medium"/>
        <scheme val="minor"/>
      </font>
      <numFmt numFmtId="168" formatCode="mm/dd/yy;@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 style="thick">
          <color theme="0"/>
        </left>
        <right/>
        <top/>
        <bottom/>
      </border>
    </dxf>
    <dxf>
      <alignment vertical="center" textRotation="0" wrapText="0" indent="0" justifyLastLine="0" shrinkToFit="0" readingOrder="0"/>
    </dxf>
    <dxf>
      <numFmt numFmtId="168" formatCode="mm/dd/yy;@"/>
    </dxf>
    <dxf>
      <alignment vertical="center" textRotation="0" wrapText="0" indent="0" justifyLastLine="0" shrinkToFit="0" readingOrder="0"/>
    </dxf>
    <dxf>
      <numFmt numFmtId="5" formatCode="#,##0_);\(#,##0\)"/>
    </dxf>
    <dxf>
      <alignment vertical="center" textRotation="0" wrapText="0" indent="0" justifyLastLine="0" shrinkToFit="0" readingOrder="0"/>
    </dxf>
    <dxf>
      <numFmt numFmtId="167" formatCode="[$¥-804]#,##0.00;[$¥-804]\-#,##0.00"/>
    </dxf>
    <dxf>
      <alignment vertical="center" textRotation="0" wrapText="0" indent="0" justifyLastLine="0" shrinkToFit="0" readingOrder="0"/>
    </dxf>
    <dxf>
      <numFmt numFmtId="167" formatCode="[$¥-804]#,##0.00;[$¥-804]\-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14993743705557422"/>
        <name val="Franklin Gothic Medium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14993743705557422"/>
        <name val="Franklin Gothic Medium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14993743705557422"/>
        <name val="Franklin Gothic Medium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14993743705557422"/>
        <name val="Franklin Gothic Medium"/>
        <scheme val="minor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14993743705557422"/>
        <name val="Franklin Gothic Medium"/>
        <scheme val="minor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14993743705557422"/>
        <name val="Franklin Gothic Medium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14993743705557422"/>
        <name val="Franklin Gothic Medium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14993743705557422"/>
        <name val="Franklin Gothic Medium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14993743705557422"/>
        <name val="Franklin Gothic Medium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14993743705557422"/>
        <name val="Franklin Gothic Medium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14993743705557422"/>
        <name val="Franklin Gothic Medium"/>
        <scheme val="minor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14993743705557422"/>
        <name val="Franklin Gothic Medium"/>
        <scheme val="minor"/>
      </font>
      <numFmt numFmtId="30" formatCode="@"/>
    </dxf>
    <dxf>
      <numFmt numFmtId="30" formatCode="@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14993743705557422"/>
        <name val="Franklin Gothic Medium"/>
        <scheme val="minor"/>
      </font>
    </dxf>
    <dxf>
      <numFmt numFmtId="30" formatCode="@"/>
    </dxf>
    <dxf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Franklin Gothic Medium"/>
        <scheme val="none"/>
      </font>
    </dxf>
    <dxf>
      <fill>
        <patternFill>
          <bgColor theme="2" tint="-4.9989318521683403E-2"/>
        </patternFill>
      </fill>
    </dxf>
    <dxf>
      <fill>
        <patternFill>
          <bgColor theme="0"/>
        </patternFill>
      </fill>
    </dxf>
    <dxf>
      <font>
        <b val="0"/>
        <i val="0"/>
        <color theme="0"/>
      </font>
      <fill>
        <patternFill patternType="solid">
          <fgColor theme="4" tint="-0.499984740745262"/>
          <bgColor theme="4" tint="-0.499984740745262"/>
        </patternFill>
      </fill>
    </dxf>
    <dxf>
      <border>
        <vertical style="thick">
          <color theme="0"/>
        </vertical>
      </border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2" defaultTableStyle="Warehouse Inventory" defaultPivotStyle="PivotStyleMedium2">
    <tableStyle name="MySqlDefault" pivot="0" table="0" count="2">
      <tableStyleElement type="wholeTable" dxfId="112"/>
      <tableStyleElement type="headerRow" dxfId="111"/>
    </tableStyle>
    <tableStyle name="Warehouse Inventory" pivot="0" count="4">
      <tableStyleElement type="wholeTable" dxfId="110"/>
      <tableStyleElement type="headerRow" dxfId="109"/>
      <tableStyleElement type="lastColumn" dxfId="108"/>
      <tableStyleElement type="secondRowStripe" dxfId="10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sharedStrings" Target="sharedStrings.xml"/><Relationship Id="rId12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'Org List'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'Asset List'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'Asset List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689229</xdr:colOff>
      <xdr:row>2</xdr:row>
      <xdr:rowOff>209549</xdr:rowOff>
    </xdr:from>
    <xdr:to>
      <xdr:col>2</xdr:col>
      <xdr:colOff>772414</xdr:colOff>
      <xdr:row>3</xdr:row>
      <xdr:rowOff>9524</xdr:rowOff>
    </xdr:to>
    <xdr:sp macro="" textlink="">
      <xdr:nvSpPr>
        <xdr:cNvPr id="11" name="Inventory List" descr="Navigation shape to view the Inventory Pick List">
          <a:hlinkClick xmlns:r="http://schemas.openxmlformats.org/officeDocument/2006/relationships" r:id="rId1" tooltip="Select to view Inventory Pick List worksheet"/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SpPr/>
      </xdr:nvSpPr>
      <xdr:spPr>
        <a:xfrm>
          <a:off x="2213229" y="752474"/>
          <a:ext cx="1737360" cy="228600"/>
        </a:xfrm>
        <a:prstGeom prst="homePlate">
          <a:avLst/>
        </a:prstGeom>
        <a:solidFill>
          <a:schemeClr val="accent1">
            <a:lumMod val="50000"/>
          </a:schemeClr>
        </a:solidFill>
        <a:effectLst/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/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zh-CN" alt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部门列表</a:t>
          </a:r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 fPrint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19049</xdr:colOff>
      <xdr:row>1</xdr:row>
      <xdr:rowOff>85725</xdr:rowOff>
    </xdr:from>
    <xdr:to>
      <xdr:col>1</xdr:col>
      <xdr:colOff>3809</xdr:colOff>
      <xdr:row>2</xdr:row>
      <xdr:rowOff>114300</xdr:rowOff>
    </xdr:to>
    <xdr:sp macro="" textlink="">
      <xdr:nvSpPr>
        <xdr:cNvPr id="3" name="Inventory List" descr="Select to view Inventory List">
          <a:hlinkClick xmlns:r="http://schemas.openxmlformats.org/officeDocument/2006/relationships" r:id="rId1" tooltip="Click to view the Warehouse Inventory List"/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SpPr/>
      </xdr:nvSpPr>
      <xdr:spPr>
        <a:xfrm flipH="1">
          <a:off x="19049" y="514350"/>
          <a:ext cx="1737360" cy="228600"/>
        </a:xfrm>
        <a:prstGeom prst="homePlate">
          <a:avLst/>
        </a:prstGeom>
        <a:solidFill>
          <a:schemeClr val="accent1">
            <a:lumMod val="50000"/>
          </a:schemeClr>
        </a:solidFill>
        <a:effectLst/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/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zh-CN" alt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设备列表</a:t>
          </a:r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 fPrintsWithSheet="0"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1</xdr:row>
      <xdr:rowOff>95250</xdr:rowOff>
    </xdr:from>
    <xdr:to>
      <xdr:col>0</xdr:col>
      <xdr:colOff>1756410</xdr:colOff>
      <xdr:row>2</xdr:row>
      <xdr:rowOff>123825</xdr:rowOff>
    </xdr:to>
    <xdr:sp macro="" textlink="">
      <xdr:nvSpPr>
        <xdr:cNvPr id="2" name="Inventory List" descr="Select to view Inventory List">
          <a:hlinkClick xmlns:r="http://schemas.openxmlformats.org/officeDocument/2006/relationships" r:id="rId1" tooltip="Select to view Inventory List"/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SpPr/>
      </xdr:nvSpPr>
      <xdr:spPr>
        <a:xfrm flipH="1">
          <a:off x="19050" y="523875"/>
          <a:ext cx="1737360" cy="228600"/>
        </a:xfrm>
        <a:prstGeom prst="homePlate">
          <a:avLst/>
        </a:prstGeom>
        <a:solidFill>
          <a:schemeClr val="accent1">
            <a:lumMod val="50000"/>
          </a:schemeClr>
        </a:solidFill>
        <a:effectLst/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/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zh-CN" alt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设备列表</a:t>
          </a:r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 fPrintsWithSheet="0"/>
  </xdr:twoCellAnchor>
</xdr:wsDr>
</file>

<file path=xl/tables/table1.xml><?xml version="1.0" encoding="utf-8"?>
<table xmlns="http://schemas.openxmlformats.org/spreadsheetml/2006/main" id="1" name="InventoryList" displayName="InventoryList" ref="A6:BA100" headerRowDxfId="106" totalsRowDxfId="105">
  <sortState ref="A3:D8">
    <sortCondition ref="B2:B8"/>
  </sortState>
  <tableColumns count="53">
    <tableColumn id="1" name="设备编号" totalsRowLabel="Totals" dataDxfId="104" dataCellStyle="Table details left aligned"/>
    <tableColumn id="2" name="设备名称" dataCellStyle="Table details left aligned"/>
    <tableColumn id="11" name="设备别名" dataDxfId="103" dataCellStyle="Table details left aligned"/>
    <tableColumn id="3" name="维修负责人" dataCellStyle="Table details left aligned"/>
    <tableColumn id="32" name="维修负责人2" dataDxfId="102" dataCellStyle="Table details left aligned"/>
    <tableColumn id="50" name="维修负责人3" dataCellStyle="Table details left aligned"/>
    <tableColumn id="5" name="使用科室" dataCellStyle="Table details left aligned"/>
    <tableColumn id="8" name="制造商" dataCellStyle="Table details center aligned"/>
    <tableColumn id="51" name="品牌/制造商简称" dataDxfId="101" dataCellStyle="Table details center aligned"/>
    <tableColumn id="52" name="设备标准名称" dataDxfId="100" dataCellStyle="Table details center aligned"/>
    <tableColumn id="35" name="注册证号" dataDxfId="99" dataCellStyle="Table details center aligned"/>
    <tableColumn id="7" name="供应商" dataDxfId="98" dataCellStyle="Table details right aligned"/>
    <tableColumn id="23" name="医疗器械分类" dataDxfId="97" dataCellStyle="Table details right aligned"/>
    <tableColumn id="4" name="医疗器械子分类" dataDxfId="96" dataCellStyle="Table details right aligned"/>
    <tableColumn id="24" name="设备分类" dataDxfId="95" dataCellStyle="Table details right aligned"/>
    <tableColumn id="25" name="功能等级" dataDxfId="94" dataCellStyle="Table details right aligned"/>
    <tableColumn id="53" name="维修类型" dataDxfId="93" dataCellStyle="Table details right aligned"/>
    <tableColumn id="26" name="设备型号" dataDxfId="92" dataCellStyle="Table details right aligned"/>
    <tableColumn id="30" name="制造商序列号" dataDxfId="91" dataCellStyle="Table details right aligned"/>
    <tableColumn id="9" name="SystemID/厂商报修ID" dataDxfId="90" dataCellStyle="Table details right aligned"/>
    <tableColumn id="41" name="2010国家编码" dataDxfId="89" dataCellStyle="Table details right aligned"/>
    <tableColumn id="29" name="资产编号" dataDxfId="88" dataCellStyle="Table details right aligned"/>
    <tableColumn id="28" name="条码" dataDxfId="87" dataCellStyle="Table details right aligned"/>
    <tableColumn id="27" name="IT系统编号" dataDxfId="86" dataCellStyle="Table details right aligned"/>
    <tableColumn id="10" name="采购价格" dataCellStyle="Table details right aligned"/>
    <tableColumn id="13" name="最终残值" dataDxfId="85" totalsRowDxfId="84" dataCellStyle="Table details right aligned"/>
    <tableColumn id="14" name="折旧算法" dataDxfId="83" totalsRowDxfId="82" dataCellStyle="Table details right aligned"/>
    <tableColumn id="15" name="使用年限" dataDxfId="81" totalsRowDxfId="80" dataCellStyle="Table details right aligned"/>
    <tableColumn id="16" name="出厂日期" dataDxfId="79" totalsRowDxfId="78" dataCellStyle="Table details right aligned"/>
    <tableColumn id="17" name="采购日期" dataDxfId="77" totalsRowDxfId="76" dataCellStyle="Table details right aligned"/>
    <tableColumn id="18" name="到货日期" dataDxfId="75" totalsRowDxfId="74" dataCellStyle="Table details right aligned"/>
    <tableColumn id="19" name="启用日期" dataDxfId="73" totalsRowDxfId="72" dataCellStyle="Table details right aligned"/>
    <tableColumn id="39" name="质保日期" dataDxfId="71" totalsRowDxfId="70" dataCellStyle="Table details right aligned"/>
    <tableColumn id="20" name="维保截止日期" dataDxfId="69" totalsRowDxfId="68" dataCellStyle="Table details right aligned"/>
    <tableColumn id="21" name="报废日期" dataDxfId="67" totalsRowDxfId="66" dataCellStyle="Table details right aligned"/>
    <tableColumn id="22" name="上次维护日期" dataDxfId="65" totalsRowDxfId="64" dataCellStyle="Table details right aligned"/>
    <tableColumn id="6" name="上次计量日期" dataDxfId="63" totalsRowDxfId="62" dataCellStyle="Table details right aligned"/>
    <tableColumn id="12" name="上次质检日期" dataDxfId="61" totalsRowDxfId="60" dataCellStyle="Table details right aligned"/>
    <tableColumn id="31" name="维护商" dataDxfId="59" totalsRowDxfId="58" dataCellStyle="Table details right aligned"/>
    <tableColumn id="33" name="维护商电话" dataDxfId="57" totalsRowDxfId="56" dataCellStyle="Table details right aligned"/>
    <tableColumn id="34" name="二维码" dataDxfId="55" totalsRowDxfId="54" dataCellStyle="Table details right aligned"/>
    <tableColumn id="36" name="安装位置编码" dataDxfId="53" totalsRowDxfId="52" dataCellStyle="Table details right aligned"/>
    <tableColumn id="37" name="安装位置" dataDxfId="51" totalsRowDxfId="50" dataCellStyle="Table details right aligned"/>
    <tableColumn id="38" name="使用责任人" dataDxfId="49" totalsRowDxfId="48" dataCellStyle="Table details right aligned"/>
    <tableColumn id="40" name="备注" dataDxfId="47" totalsRowDxfId="46" dataCellStyle="Table details right aligned"/>
    <tableColumn id="42" name="用途分类" dataDxfId="45" totalsRowDxfId="44" dataCellStyle="Table details right aligned"/>
    <tableColumn id="43" name="资金来源" dataDxfId="43" totalsRowDxfId="42" dataCellStyle="Table details right aligned"/>
    <tableColumn id="44" name="风险等级" dataDxfId="41" totalsRowDxfId="40" dataCellStyle="Table details right aligned"/>
    <tableColumn id="45" name="计量等级" dataDxfId="39" totalsRowDxfId="38" dataCellStyle="Table details right aligned"/>
    <tableColumn id="46" name="计量项目类别" dataDxfId="37" totalsRowDxfId="36" dataCellStyle="Table details right aligned"/>
    <tableColumn id="47" name="是否急救设备" dataDxfId="35" totalsRowDxfId="34" dataCellStyle="Table details right aligned"/>
    <tableColumn id="48" name="是否进口设备" dataDxfId="33" totalsRowDxfId="32" dataCellStyle="Table details right aligned"/>
    <tableColumn id="49" name="当前状态" dataDxfId="31" totalsRowDxfId="30" dataCellStyle="Table details right aligned"/>
  </tableColumns>
  <tableStyleInfo name="Warehouse Inventory" showFirstColumn="0" showLastColumn="0" showRowStripes="1" showColumnStripes="0"/>
</table>
</file>

<file path=xl/tables/table2.xml><?xml version="1.0" encoding="utf-8"?>
<table xmlns="http://schemas.openxmlformats.org/spreadsheetml/2006/main" id="4" name="InventoryPickList" displayName="InventoryPickList" ref="A4:A10" totalsRowShown="0">
  <tableColumns count="1">
    <tableColumn id="9" name="部门名称" dataCellStyle="Table details left aligned"/>
  </tableColumns>
  <tableStyleInfo name="Warehouse Inventory" showFirstColumn="0" showLastColumn="0" showRowStripes="1" showColumnStripes="0"/>
</table>
</file>

<file path=xl/tables/table3.xml><?xml version="1.0" encoding="utf-8"?>
<table xmlns="http://schemas.openxmlformats.org/spreadsheetml/2006/main" id="3" name="UserLookup" displayName="UserLookup" ref="A4:E8">
  <tableColumns count="5">
    <tableColumn id="1" name="人员名字" totalsRowLabel="Total" dataCellStyle="Table details left aligned"/>
    <tableColumn id="2" name="人员编号" dataCellStyle="Table details left aligned"/>
    <tableColumn id="6" name="电话" dataCellStyle="Table details left aligned"/>
    <tableColumn id="3" name="所属科室" dataCellStyle="Table details left aligned"/>
    <tableColumn id="4" name="用户名" dataCellStyle="Table details left aligned"/>
  </tableColumns>
  <tableStyleInfo name="Warehouse Inventory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Warehouse Inventory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6DB068"/>
      </a:accent1>
      <a:accent2>
        <a:srgbClr val="E1C049"/>
      </a:accent2>
      <a:accent3>
        <a:srgbClr val="77CACD"/>
      </a:accent3>
      <a:accent4>
        <a:srgbClr val="EB862D"/>
      </a:accent4>
      <a:accent5>
        <a:srgbClr val="9062A7"/>
      </a:accent5>
      <a:accent6>
        <a:srgbClr val="EB8688"/>
      </a:accent6>
      <a:hlink>
        <a:srgbClr val="13CACD"/>
      </a:hlink>
      <a:folHlink>
        <a:srgbClr val="9062A7"/>
      </a:folHlink>
    </a:clrScheme>
    <a:fontScheme name="Warehouse Inventory">
      <a:majorFont>
        <a:latin typeface="Franklin Gothic Medium"/>
        <a:ea typeface=""/>
        <a:cs typeface=""/>
      </a:majorFont>
      <a:minorFont>
        <a:latin typeface="Franklin Gothic Medium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Relationship Id="rId2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Relationship Id="rId2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4" Type="http://schemas.openxmlformats.org/officeDocument/2006/relationships/table" Target="../tables/table3.xml"/><Relationship Id="rId5" Type="http://schemas.openxmlformats.org/officeDocument/2006/relationships/comments" Target="../comments1.xml"/><Relationship Id="rId1" Type="http://schemas.openxmlformats.org/officeDocument/2006/relationships/printerSettings" Target="../printerSettings/printerSettings3.bin"/><Relationship Id="rId2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tInventoryList" enableFormatConditionsCalculation="0">
    <tabColor theme="4"/>
    <pageSetUpPr autoPageBreaks="0" fitToPage="1"/>
  </sheetPr>
  <dimension ref="A1:BA100"/>
  <sheetViews>
    <sheetView showGridLines="0" tabSelected="1" topLeftCell="A74" workbookViewId="0">
      <selection activeCell="A100" sqref="A100"/>
    </sheetView>
  </sheetViews>
  <sheetFormatPr baseColWidth="10" defaultColWidth="8.83203125" defaultRowHeight="30" customHeight="1" x14ac:dyDescent="0.15"/>
  <cols>
    <col min="1" max="1" width="17.83203125" customWidth="1"/>
    <col min="2" max="2" width="19" customWidth="1"/>
    <col min="3" max="3" width="10.1640625" customWidth="1"/>
    <col min="4" max="4" width="11.5" customWidth="1"/>
    <col min="5" max="5" width="13.5" customWidth="1"/>
    <col min="6" max="6" width="13.5" style="105" customWidth="1"/>
    <col min="7" max="7" width="13.83203125" customWidth="1"/>
    <col min="8" max="8" width="12.83203125" customWidth="1"/>
    <col min="9" max="9" width="16.33203125" style="105" bestFit="1" customWidth="1"/>
    <col min="10" max="10" width="16.33203125" style="105" customWidth="1"/>
    <col min="11" max="11" width="9.1640625" customWidth="1"/>
    <col min="12" max="12" width="18.83203125" style="113" customWidth="1"/>
    <col min="13" max="13" width="22.5" bestFit="1" customWidth="1"/>
    <col min="14" max="14" width="18" customWidth="1"/>
    <col min="15" max="15" width="19" customWidth="1"/>
    <col min="16" max="16" width="10" customWidth="1"/>
    <col min="17" max="17" width="10" style="105" customWidth="1"/>
    <col min="18" max="19" width="10.1640625" customWidth="1"/>
    <col min="20" max="20" width="19.1640625" customWidth="1"/>
    <col min="21" max="21" width="19.1640625" style="105" customWidth="1"/>
    <col min="22" max="22" width="14.6640625" customWidth="1"/>
    <col min="23" max="24" width="10.1640625" customWidth="1"/>
    <col min="25" max="25" width="13.6640625" customWidth="1"/>
    <col min="26" max="26" width="17.5" customWidth="1"/>
    <col min="27" max="27" width="14.5" customWidth="1"/>
    <col min="28" max="28" width="11.1640625" customWidth="1"/>
    <col min="29" max="29" width="9" customWidth="1"/>
    <col min="30" max="30" width="11.5" customWidth="1"/>
    <col min="31" max="31" width="10.1640625" customWidth="1"/>
    <col min="32" max="32" width="11.5" customWidth="1"/>
    <col min="33" max="33" width="11.5" style="105" customWidth="1"/>
    <col min="34" max="34" width="13.1640625" bestFit="1" customWidth="1"/>
    <col min="35" max="35" width="13.33203125" customWidth="1"/>
    <col min="36" max="36" width="14.6640625" customWidth="1"/>
    <col min="37" max="37" width="12.5" customWidth="1"/>
    <col min="38" max="38" width="12.6640625" customWidth="1"/>
    <col min="39" max="40" width="12.33203125" style="113" customWidth="1"/>
    <col min="41" max="41" width="16.1640625" style="113" customWidth="1"/>
    <col min="42" max="42" width="12.83203125" style="113" bestFit="1" customWidth="1"/>
    <col min="43" max="43" width="9.1640625" style="113" bestFit="1" customWidth="1"/>
    <col min="44" max="44" width="11.1640625" style="113" bestFit="1" customWidth="1"/>
    <col min="45" max="45" width="9.1640625" style="113" bestFit="1" customWidth="1"/>
    <col min="49" max="49" width="9.33203125" bestFit="1" customWidth="1"/>
    <col min="50" max="50" width="11.6640625" customWidth="1"/>
    <col min="51" max="52" width="12.83203125" bestFit="1" customWidth="1"/>
    <col min="53" max="53" width="11.33203125" customWidth="1"/>
  </cols>
  <sheetData>
    <row r="1" spans="1:53" ht="25" x14ac:dyDescent="0.15">
      <c r="A1" s="24" t="s">
        <v>43</v>
      </c>
      <c r="B1" s="24" t="s">
        <v>14</v>
      </c>
      <c r="C1" s="24"/>
      <c r="D1" s="123" t="s">
        <v>121</v>
      </c>
      <c r="E1" s="124"/>
      <c r="F1" s="124"/>
      <c r="G1" s="124"/>
      <c r="H1" s="124"/>
      <c r="I1" s="124"/>
      <c r="J1" s="124"/>
      <c r="K1" s="124"/>
      <c r="L1" s="124"/>
    </row>
    <row r="2" spans="1:53" ht="14" x14ac:dyDescent="0.15">
      <c r="A2" s="25" t="s">
        <v>44</v>
      </c>
      <c r="B2" s="26" t="s">
        <v>17</v>
      </c>
      <c r="C2" s="26" t="s">
        <v>547</v>
      </c>
      <c r="D2" s="124"/>
      <c r="E2" s="124"/>
      <c r="F2" s="124"/>
      <c r="G2" s="124"/>
      <c r="H2" s="124"/>
      <c r="I2" s="124"/>
      <c r="J2" s="124"/>
      <c r="K2" s="124"/>
      <c r="L2" s="124"/>
    </row>
    <row r="3" spans="1:53" ht="34" thickBot="1" x14ac:dyDescent="0.4">
      <c r="A3" s="5" t="s">
        <v>0</v>
      </c>
      <c r="B3" s="5"/>
      <c r="C3" s="5"/>
      <c r="D3" s="5"/>
      <c r="E3" s="5"/>
      <c r="F3" s="5"/>
      <c r="G3" s="1"/>
      <c r="H3" s="1"/>
      <c r="I3" s="106"/>
      <c r="J3" s="106"/>
      <c r="K3" s="1"/>
      <c r="L3" s="112"/>
      <c r="M3" s="1"/>
      <c r="N3" s="1"/>
      <c r="O3" s="1"/>
      <c r="P3" s="1"/>
      <c r="Q3" s="106"/>
      <c r="R3" s="1"/>
      <c r="S3" s="1"/>
      <c r="T3" s="1"/>
      <c r="U3" s="106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06"/>
      <c r="AH3" s="1"/>
      <c r="AI3" s="1"/>
      <c r="AJ3" s="1"/>
      <c r="AK3" s="1"/>
      <c r="AL3" s="1"/>
      <c r="AM3" s="112"/>
      <c r="AN3" s="112"/>
      <c r="AO3" s="112"/>
      <c r="AP3" s="112"/>
      <c r="AQ3" s="112"/>
      <c r="AR3" s="112"/>
      <c r="AS3" s="112"/>
      <c r="AT3" s="1"/>
      <c r="AU3" s="1"/>
      <c r="AV3" s="1"/>
      <c r="AW3" s="1"/>
      <c r="AX3" s="1"/>
      <c r="AY3" s="1"/>
      <c r="AZ3" s="1"/>
      <c r="BA3" s="106"/>
    </row>
    <row r="4" spans="1:53" ht="14" x14ac:dyDescent="0.15">
      <c r="A4" s="2" t="s">
        <v>11</v>
      </c>
      <c r="B4" s="4" t="s">
        <v>10</v>
      </c>
      <c r="C4" s="4"/>
      <c r="D4" s="2"/>
      <c r="E4" s="11"/>
      <c r="F4" s="11"/>
      <c r="G4" s="9"/>
    </row>
    <row r="5" spans="1:53" ht="20" x14ac:dyDescent="0.15">
      <c r="A5" s="120">
        <f>COUNTA('Asset List'!$B$7:$B$100)</f>
        <v>1</v>
      </c>
      <c r="B5" s="121">
        <f>SUM('Asset List'!$Y$7:$Y$100)</f>
        <v>0</v>
      </c>
      <c r="C5" s="10"/>
      <c r="D5" s="10"/>
      <c r="E5" s="11"/>
      <c r="F5" s="11"/>
    </row>
    <row r="6" spans="1:53" s="33" customFormat="1" ht="31.5" customHeight="1" x14ac:dyDescent="0.15">
      <c r="A6" s="30" t="s">
        <v>45</v>
      </c>
      <c r="B6" s="30" t="s">
        <v>13</v>
      </c>
      <c r="C6" s="30" t="s">
        <v>15</v>
      </c>
      <c r="D6" s="30" t="s">
        <v>111</v>
      </c>
      <c r="E6" s="118" t="s">
        <v>536</v>
      </c>
      <c r="F6" s="29" t="s">
        <v>516</v>
      </c>
      <c r="G6" s="30" t="s">
        <v>524</v>
      </c>
      <c r="H6" s="30" t="s">
        <v>33</v>
      </c>
      <c r="I6" s="30" t="s">
        <v>535</v>
      </c>
      <c r="J6" s="30" t="s">
        <v>537</v>
      </c>
      <c r="K6" s="31" t="s">
        <v>112</v>
      </c>
      <c r="L6" s="32" t="s">
        <v>517</v>
      </c>
      <c r="M6" s="30" t="s">
        <v>521</v>
      </c>
      <c r="N6" s="93" t="s">
        <v>522</v>
      </c>
      <c r="O6" s="93" t="s">
        <v>519</v>
      </c>
      <c r="P6" s="30" t="s">
        <v>36</v>
      </c>
      <c r="Q6" s="30" t="s">
        <v>542</v>
      </c>
      <c r="R6" s="30" t="s">
        <v>113</v>
      </c>
      <c r="S6" s="30" t="s">
        <v>37</v>
      </c>
      <c r="T6" s="30" t="s">
        <v>86</v>
      </c>
      <c r="U6" s="30" t="s">
        <v>534</v>
      </c>
      <c r="V6" s="30" t="s">
        <v>38</v>
      </c>
      <c r="W6" s="30" t="s">
        <v>39</v>
      </c>
      <c r="X6" s="30" t="s">
        <v>40</v>
      </c>
      <c r="Y6" s="30" t="s">
        <v>12</v>
      </c>
      <c r="Z6" s="30" t="s">
        <v>19</v>
      </c>
      <c r="AA6" s="30" t="s">
        <v>20</v>
      </c>
      <c r="AB6" s="30" t="s">
        <v>21</v>
      </c>
      <c r="AC6" s="30" t="s">
        <v>538</v>
      </c>
      <c r="AD6" s="30" t="s">
        <v>23</v>
      </c>
      <c r="AE6" s="30" t="s">
        <v>24</v>
      </c>
      <c r="AF6" s="93" t="s">
        <v>518</v>
      </c>
      <c r="AG6" s="93" t="s">
        <v>523</v>
      </c>
      <c r="AH6" s="30" t="s">
        <v>26</v>
      </c>
      <c r="AI6" s="30" t="s">
        <v>27</v>
      </c>
      <c r="AJ6" s="30" t="s">
        <v>28</v>
      </c>
      <c r="AK6" s="30" t="s">
        <v>29</v>
      </c>
      <c r="AL6" s="30" t="s">
        <v>30</v>
      </c>
      <c r="AM6" s="32" t="s">
        <v>31</v>
      </c>
      <c r="AN6" s="32" t="s">
        <v>32</v>
      </c>
      <c r="AO6" s="32" t="s">
        <v>498</v>
      </c>
      <c r="AP6" s="32" t="s">
        <v>499</v>
      </c>
      <c r="AQ6" s="32" t="s">
        <v>500</v>
      </c>
      <c r="AR6" s="32" t="s">
        <v>501</v>
      </c>
      <c r="AS6" s="32" t="s">
        <v>502</v>
      </c>
      <c r="AT6" s="32" t="s">
        <v>503</v>
      </c>
      <c r="AU6" s="32" t="s">
        <v>504</v>
      </c>
      <c r="AV6" s="32" t="s">
        <v>505</v>
      </c>
      <c r="AW6" s="32" t="s">
        <v>506</v>
      </c>
      <c r="AX6" s="109" t="s">
        <v>444</v>
      </c>
      <c r="AY6" s="32" t="s">
        <v>507</v>
      </c>
      <c r="AZ6" s="32" t="s">
        <v>508</v>
      </c>
      <c r="BA6" s="109" t="s">
        <v>543</v>
      </c>
    </row>
    <row r="7" spans="1:53" ht="14" x14ac:dyDescent="0.15">
      <c r="A7" s="35" t="s">
        <v>114</v>
      </c>
      <c r="B7" s="34" t="s">
        <v>533</v>
      </c>
      <c r="C7" s="34" t="s">
        <v>115</v>
      </c>
      <c r="D7" s="110" t="s">
        <v>520</v>
      </c>
      <c r="E7" s="34" t="s">
        <v>9</v>
      </c>
      <c r="F7" s="34"/>
      <c r="G7" s="94" t="s">
        <v>179</v>
      </c>
      <c r="H7" s="37" t="s">
        <v>116</v>
      </c>
      <c r="I7" s="37"/>
      <c r="J7" s="37"/>
      <c r="K7" s="16"/>
      <c r="L7" s="28" t="s">
        <v>117</v>
      </c>
      <c r="M7" s="17" t="s">
        <v>55</v>
      </c>
      <c r="N7" s="17" t="s">
        <v>260</v>
      </c>
      <c r="O7" s="17" t="s">
        <v>427</v>
      </c>
      <c r="P7" s="17"/>
      <c r="Q7" s="17"/>
      <c r="R7" s="28" t="s">
        <v>118</v>
      </c>
      <c r="S7" s="28" t="s">
        <v>119</v>
      </c>
      <c r="T7" s="17"/>
      <c r="U7" s="17"/>
      <c r="V7" s="28"/>
      <c r="W7" s="17"/>
      <c r="X7" s="17"/>
      <c r="Y7" s="36">
        <v>0</v>
      </c>
      <c r="Z7" s="18">
        <v>0</v>
      </c>
      <c r="AA7" s="36" t="s">
        <v>120</v>
      </c>
      <c r="AB7" s="19"/>
      <c r="AC7" s="20"/>
      <c r="AD7" s="21"/>
      <c r="AE7" s="20"/>
      <c r="AF7" s="20"/>
      <c r="AG7" s="20"/>
      <c r="AH7" s="20"/>
      <c r="AI7" s="20"/>
      <c r="AJ7" s="20"/>
      <c r="AK7" s="23"/>
      <c r="AL7" s="23"/>
      <c r="AM7" s="111"/>
      <c r="AN7" s="114"/>
      <c r="AO7" s="114"/>
      <c r="AP7" s="114"/>
      <c r="AQ7" s="114"/>
      <c r="AR7" s="114"/>
      <c r="AS7" s="114"/>
      <c r="AT7" s="23" t="s">
        <v>430</v>
      </c>
      <c r="AU7" s="23" t="s">
        <v>440</v>
      </c>
      <c r="AV7" s="23" t="s">
        <v>450</v>
      </c>
      <c r="AW7" s="23" t="s">
        <v>446</v>
      </c>
      <c r="AX7" s="23" t="s">
        <v>453</v>
      </c>
      <c r="AY7" s="23" t="s">
        <v>449</v>
      </c>
      <c r="AZ7" s="23" t="s">
        <v>442</v>
      </c>
      <c r="BA7" s="23" t="s">
        <v>544</v>
      </c>
    </row>
    <row r="8" spans="1:53" s="105" customFormat="1" ht="14" x14ac:dyDescent="0.15">
      <c r="A8" s="35"/>
      <c r="B8" s="34"/>
      <c r="C8" s="34"/>
      <c r="D8" s="110"/>
      <c r="E8" s="34"/>
      <c r="F8" s="34"/>
      <c r="G8" s="94"/>
      <c r="H8" s="37"/>
      <c r="I8" s="37"/>
      <c r="J8" s="37"/>
      <c r="K8" s="16"/>
      <c r="L8" s="28"/>
      <c r="M8" s="17"/>
      <c r="N8" s="17"/>
      <c r="O8" s="17"/>
      <c r="P8" s="17"/>
      <c r="Q8" s="17"/>
      <c r="R8" s="28"/>
      <c r="S8" s="28"/>
      <c r="T8" s="17"/>
      <c r="U8" s="17"/>
      <c r="V8" s="28"/>
      <c r="W8" s="17"/>
      <c r="X8" s="17"/>
      <c r="Y8" s="36"/>
      <c r="Z8" s="18"/>
      <c r="AA8" s="36"/>
      <c r="AB8" s="19"/>
      <c r="AC8" s="20"/>
      <c r="AD8" s="21"/>
      <c r="AE8" s="20"/>
      <c r="AF8" s="20"/>
      <c r="AG8" s="20"/>
      <c r="AH8" s="20"/>
      <c r="AI8" s="20"/>
      <c r="AJ8" s="20"/>
      <c r="AK8" s="23"/>
      <c r="AL8" s="23"/>
      <c r="AM8" s="111"/>
      <c r="AN8" s="114"/>
      <c r="AO8" s="114"/>
      <c r="AP8" s="114"/>
      <c r="AQ8" s="114"/>
      <c r="AR8" s="114"/>
      <c r="AS8" s="114"/>
      <c r="AT8" s="23"/>
      <c r="AU8" s="23"/>
      <c r="AV8" s="23"/>
      <c r="AW8" s="23"/>
      <c r="AX8" s="23"/>
      <c r="AY8" s="23"/>
      <c r="AZ8" s="23"/>
      <c r="BA8" s="23"/>
    </row>
    <row r="9" spans="1:53" s="105" customFormat="1" ht="14" x14ac:dyDescent="0.15">
      <c r="A9" s="35"/>
      <c r="B9" s="34"/>
      <c r="C9" s="34"/>
      <c r="D9" s="110"/>
      <c r="E9" s="34"/>
      <c r="F9" s="34"/>
      <c r="G9" s="94"/>
      <c r="H9" s="37"/>
      <c r="I9" s="37"/>
      <c r="J9" s="37"/>
      <c r="K9" s="16"/>
      <c r="L9" s="28"/>
      <c r="M9" s="17"/>
      <c r="N9" s="17"/>
      <c r="O9" s="17"/>
      <c r="P9" s="17"/>
      <c r="Q9" s="17"/>
      <c r="R9" s="28"/>
      <c r="S9" s="28"/>
      <c r="T9" s="17"/>
      <c r="U9" s="17"/>
      <c r="V9" s="28"/>
      <c r="W9" s="17"/>
      <c r="X9" s="17"/>
      <c r="Y9" s="36"/>
      <c r="Z9" s="18"/>
      <c r="AA9" s="36"/>
      <c r="AB9" s="19"/>
      <c r="AC9" s="20"/>
      <c r="AD9" s="21"/>
      <c r="AE9" s="20"/>
      <c r="AF9" s="20"/>
      <c r="AG9" s="20"/>
      <c r="AH9" s="20"/>
      <c r="AI9" s="20"/>
      <c r="AJ9" s="20"/>
      <c r="AK9" s="23"/>
      <c r="AL9" s="23"/>
      <c r="AM9" s="111"/>
      <c r="AN9" s="114"/>
      <c r="AO9" s="114"/>
      <c r="AP9" s="114"/>
      <c r="AQ9" s="114"/>
      <c r="AR9" s="114"/>
      <c r="AS9" s="114"/>
      <c r="AT9" s="23"/>
      <c r="AU9" s="23"/>
      <c r="AV9" s="23"/>
      <c r="AW9" s="23"/>
      <c r="AX9" s="23"/>
      <c r="AY9" s="23"/>
      <c r="AZ9" s="23"/>
      <c r="BA9" s="23"/>
    </row>
    <row r="10" spans="1:53" s="105" customFormat="1" ht="14" x14ac:dyDescent="0.15">
      <c r="A10" s="35"/>
      <c r="B10" s="34"/>
      <c r="C10" s="34"/>
      <c r="D10" s="110"/>
      <c r="E10" s="34"/>
      <c r="F10" s="34"/>
      <c r="G10" s="94"/>
      <c r="H10" s="37"/>
      <c r="I10" s="37"/>
      <c r="J10" s="37"/>
      <c r="K10" s="16"/>
      <c r="L10" s="28"/>
      <c r="M10" s="17"/>
      <c r="N10" s="17"/>
      <c r="O10" s="17"/>
      <c r="P10" s="17"/>
      <c r="Q10" s="17"/>
      <c r="R10" s="28"/>
      <c r="S10" s="28"/>
      <c r="T10" s="17"/>
      <c r="U10" s="17"/>
      <c r="V10" s="28"/>
      <c r="W10" s="17"/>
      <c r="X10" s="17"/>
      <c r="Y10" s="36"/>
      <c r="Z10" s="18"/>
      <c r="AA10" s="36"/>
      <c r="AB10" s="19"/>
      <c r="AC10" s="20"/>
      <c r="AD10" s="21"/>
      <c r="AE10" s="20"/>
      <c r="AF10" s="20"/>
      <c r="AG10" s="20"/>
      <c r="AH10" s="20"/>
      <c r="AI10" s="20"/>
      <c r="AJ10" s="20"/>
      <c r="AK10" s="23"/>
      <c r="AL10" s="23"/>
      <c r="AM10" s="111"/>
      <c r="AN10" s="114"/>
      <c r="AO10" s="114"/>
      <c r="AP10" s="114"/>
      <c r="AQ10" s="114"/>
      <c r="AR10" s="114"/>
      <c r="AS10" s="114"/>
      <c r="AT10" s="23"/>
      <c r="AU10" s="23"/>
      <c r="AV10" s="23"/>
      <c r="AW10" s="23"/>
      <c r="AX10" s="23"/>
      <c r="AY10" s="23"/>
      <c r="AZ10" s="23"/>
      <c r="BA10" s="23"/>
    </row>
    <row r="11" spans="1:53" s="105" customFormat="1" ht="14" x14ac:dyDescent="0.15">
      <c r="A11" s="35"/>
      <c r="B11" s="34"/>
      <c r="C11" s="34"/>
      <c r="D11" s="110"/>
      <c r="E11" s="34"/>
      <c r="F11" s="34"/>
      <c r="G11" s="94"/>
      <c r="H11" s="37"/>
      <c r="I11" s="37"/>
      <c r="J11" s="37"/>
      <c r="K11" s="16"/>
      <c r="L11" s="28"/>
      <c r="M11" s="17"/>
      <c r="N11" s="17"/>
      <c r="O11" s="17"/>
      <c r="P11" s="17"/>
      <c r="Q11" s="17"/>
      <c r="R11" s="28"/>
      <c r="S11" s="28"/>
      <c r="T11" s="17"/>
      <c r="U11" s="17"/>
      <c r="V11" s="28"/>
      <c r="W11" s="17"/>
      <c r="X11" s="17"/>
      <c r="Y11" s="36"/>
      <c r="Z11" s="18"/>
      <c r="AA11" s="36"/>
      <c r="AB11" s="19"/>
      <c r="AC11" s="20"/>
      <c r="AD11" s="21"/>
      <c r="AE11" s="20"/>
      <c r="AF11" s="20"/>
      <c r="AG11" s="20"/>
      <c r="AH11" s="20"/>
      <c r="AI11" s="20"/>
      <c r="AJ11" s="20"/>
      <c r="AK11" s="23"/>
      <c r="AL11" s="23"/>
      <c r="AM11" s="111"/>
      <c r="AN11" s="114"/>
      <c r="AO11" s="114"/>
      <c r="AP11" s="114"/>
      <c r="AQ11" s="114"/>
      <c r="AR11" s="114"/>
      <c r="AS11" s="114"/>
      <c r="AT11" s="23"/>
      <c r="AU11" s="23"/>
      <c r="AV11" s="23"/>
      <c r="AW11" s="23"/>
      <c r="AX11" s="23"/>
      <c r="AY11" s="23"/>
      <c r="AZ11" s="23"/>
      <c r="BA11" s="23"/>
    </row>
    <row r="12" spans="1:53" s="105" customFormat="1" ht="14" x14ac:dyDescent="0.15">
      <c r="A12" s="35"/>
      <c r="B12" s="34"/>
      <c r="C12" s="34"/>
      <c r="D12" s="110"/>
      <c r="E12" s="34"/>
      <c r="F12" s="34"/>
      <c r="G12" s="94"/>
      <c r="H12" s="37"/>
      <c r="I12" s="37"/>
      <c r="J12" s="37"/>
      <c r="K12" s="16"/>
      <c r="L12" s="28"/>
      <c r="M12" s="17"/>
      <c r="N12" s="17"/>
      <c r="O12" s="17"/>
      <c r="P12" s="17"/>
      <c r="Q12" s="17"/>
      <c r="R12" s="28"/>
      <c r="S12" s="28"/>
      <c r="T12" s="17"/>
      <c r="U12" s="17"/>
      <c r="V12" s="28"/>
      <c r="W12" s="17"/>
      <c r="X12" s="17"/>
      <c r="Y12" s="36"/>
      <c r="Z12" s="18"/>
      <c r="AA12" s="36"/>
      <c r="AB12" s="19"/>
      <c r="AC12" s="20"/>
      <c r="AD12" s="21"/>
      <c r="AE12" s="20"/>
      <c r="AF12" s="20"/>
      <c r="AG12" s="20"/>
      <c r="AH12" s="20"/>
      <c r="AI12" s="20"/>
      <c r="AJ12" s="20"/>
      <c r="AK12" s="23"/>
      <c r="AL12" s="23"/>
      <c r="AM12" s="111"/>
      <c r="AN12" s="114"/>
      <c r="AO12" s="114"/>
      <c r="AP12" s="114"/>
      <c r="AQ12" s="114"/>
      <c r="AR12" s="114"/>
      <c r="AS12" s="114"/>
      <c r="AT12" s="23"/>
      <c r="AU12" s="23"/>
      <c r="AV12" s="23"/>
      <c r="AW12" s="23"/>
      <c r="AX12" s="23"/>
      <c r="AY12" s="23"/>
      <c r="AZ12" s="23"/>
      <c r="BA12" s="23"/>
    </row>
    <row r="13" spans="1:53" s="105" customFormat="1" ht="14" x14ac:dyDescent="0.15">
      <c r="A13" s="35"/>
      <c r="B13" s="34"/>
      <c r="C13" s="34"/>
      <c r="D13" s="110"/>
      <c r="E13" s="34"/>
      <c r="F13" s="34"/>
      <c r="G13" s="94"/>
      <c r="H13" s="37"/>
      <c r="I13" s="37"/>
      <c r="J13" s="37"/>
      <c r="K13" s="16"/>
      <c r="L13" s="28"/>
      <c r="M13" s="17"/>
      <c r="N13" s="17"/>
      <c r="O13" s="17"/>
      <c r="P13" s="17"/>
      <c r="Q13" s="17"/>
      <c r="R13" s="28"/>
      <c r="S13" s="28"/>
      <c r="T13" s="17"/>
      <c r="U13" s="17"/>
      <c r="V13" s="28"/>
      <c r="W13" s="17"/>
      <c r="X13" s="17"/>
      <c r="Y13" s="36"/>
      <c r="Z13" s="18"/>
      <c r="AA13" s="36"/>
      <c r="AB13" s="19"/>
      <c r="AC13" s="20"/>
      <c r="AD13" s="21"/>
      <c r="AE13" s="20"/>
      <c r="AF13" s="20"/>
      <c r="AG13" s="20"/>
      <c r="AH13" s="20"/>
      <c r="AI13" s="20"/>
      <c r="AJ13" s="20"/>
      <c r="AK13" s="23"/>
      <c r="AL13" s="23"/>
      <c r="AM13" s="111"/>
      <c r="AN13" s="114"/>
      <c r="AO13" s="114"/>
      <c r="AP13" s="114"/>
      <c r="AQ13" s="114"/>
      <c r="AR13" s="114"/>
      <c r="AS13" s="114"/>
      <c r="AT13" s="23"/>
      <c r="AU13" s="23"/>
      <c r="AV13" s="23"/>
      <c r="AW13" s="23"/>
      <c r="AX13" s="23"/>
      <c r="AY13" s="23"/>
      <c r="AZ13" s="23"/>
      <c r="BA13" s="23"/>
    </row>
    <row r="14" spans="1:53" s="105" customFormat="1" ht="14" x14ac:dyDescent="0.15">
      <c r="A14" s="35"/>
      <c r="B14" s="34"/>
      <c r="C14" s="34"/>
      <c r="D14" s="110"/>
      <c r="E14" s="34"/>
      <c r="F14" s="34"/>
      <c r="G14" s="94"/>
      <c r="H14" s="37"/>
      <c r="I14" s="37"/>
      <c r="J14" s="37"/>
      <c r="K14" s="16"/>
      <c r="L14" s="28"/>
      <c r="M14" s="17"/>
      <c r="N14" s="17"/>
      <c r="O14" s="17"/>
      <c r="P14" s="17"/>
      <c r="Q14" s="17"/>
      <c r="R14" s="28"/>
      <c r="S14" s="28"/>
      <c r="T14" s="17"/>
      <c r="U14" s="17"/>
      <c r="V14" s="28"/>
      <c r="W14" s="17"/>
      <c r="X14" s="17"/>
      <c r="Y14" s="36"/>
      <c r="Z14" s="18"/>
      <c r="AA14" s="36"/>
      <c r="AB14" s="19"/>
      <c r="AC14" s="20"/>
      <c r="AD14" s="21"/>
      <c r="AE14" s="20"/>
      <c r="AF14" s="20"/>
      <c r="AG14" s="20"/>
      <c r="AH14" s="20"/>
      <c r="AI14" s="20"/>
      <c r="AJ14" s="20"/>
      <c r="AK14" s="23"/>
      <c r="AL14" s="23"/>
      <c r="AM14" s="111"/>
      <c r="AN14" s="114"/>
      <c r="AO14" s="114"/>
      <c r="AP14" s="114"/>
      <c r="AQ14" s="114"/>
      <c r="AR14" s="114"/>
      <c r="AS14" s="114"/>
      <c r="AT14" s="23"/>
      <c r="AU14" s="23"/>
      <c r="AV14" s="23"/>
      <c r="AW14" s="23"/>
      <c r="AX14" s="23"/>
      <c r="AY14" s="23"/>
      <c r="AZ14" s="23"/>
      <c r="BA14" s="23"/>
    </row>
    <row r="15" spans="1:53" s="105" customFormat="1" ht="14" x14ac:dyDescent="0.15">
      <c r="A15" s="35"/>
      <c r="B15" s="34"/>
      <c r="C15" s="34"/>
      <c r="D15" s="110"/>
      <c r="E15" s="34"/>
      <c r="F15" s="34"/>
      <c r="G15" s="94"/>
      <c r="H15" s="37"/>
      <c r="I15" s="37"/>
      <c r="J15" s="37"/>
      <c r="K15" s="16"/>
      <c r="L15" s="28"/>
      <c r="M15" s="17"/>
      <c r="N15" s="17"/>
      <c r="O15" s="17"/>
      <c r="P15" s="17"/>
      <c r="Q15" s="17"/>
      <c r="R15" s="28"/>
      <c r="S15" s="28"/>
      <c r="T15" s="17"/>
      <c r="U15" s="17"/>
      <c r="V15" s="28"/>
      <c r="W15" s="17"/>
      <c r="X15" s="17"/>
      <c r="Y15" s="36"/>
      <c r="Z15" s="18"/>
      <c r="AA15" s="36"/>
      <c r="AB15" s="19"/>
      <c r="AC15" s="20"/>
      <c r="AD15" s="21"/>
      <c r="AE15" s="20"/>
      <c r="AF15" s="20"/>
      <c r="AG15" s="20"/>
      <c r="AH15" s="20"/>
      <c r="AI15" s="20"/>
      <c r="AJ15" s="20"/>
      <c r="AK15" s="23"/>
      <c r="AL15" s="23"/>
      <c r="AM15" s="111"/>
      <c r="AN15" s="114"/>
      <c r="AO15" s="114"/>
      <c r="AP15" s="114"/>
      <c r="AQ15" s="114"/>
      <c r="AR15" s="114"/>
      <c r="AS15" s="114"/>
      <c r="AT15" s="23"/>
      <c r="AU15" s="23"/>
      <c r="AV15" s="23"/>
      <c r="AW15" s="23"/>
      <c r="AX15" s="23"/>
      <c r="AY15" s="23"/>
      <c r="AZ15" s="23"/>
      <c r="BA15" s="23"/>
    </row>
    <row r="16" spans="1:53" s="105" customFormat="1" ht="14" x14ac:dyDescent="0.15">
      <c r="A16" s="35"/>
      <c r="B16" s="34"/>
      <c r="C16" s="34"/>
      <c r="D16" s="110"/>
      <c r="E16" s="34"/>
      <c r="F16" s="34"/>
      <c r="G16" s="94"/>
      <c r="H16" s="37"/>
      <c r="I16" s="37"/>
      <c r="J16" s="37"/>
      <c r="K16" s="16"/>
      <c r="L16" s="28"/>
      <c r="M16" s="17"/>
      <c r="N16" s="17"/>
      <c r="O16" s="17"/>
      <c r="P16" s="17"/>
      <c r="Q16" s="17"/>
      <c r="R16" s="28"/>
      <c r="S16" s="28"/>
      <c r="T16" s="17"/>
      <c r="U16" s="17"/>
      <c r="V16" s="28"/>
      <c r="W16" s="17"/>
      <c r="X16" s="17"/>
      <c r="Y16" s="36"/>
      <c r="Z16" s="18"/>
      <c r="AA16" s="36"/>
      <c r="AB16" s="19"/>
      <c r="AC16" s="20"/>
      <c r="AD16" s="21"/>
      <c r="AE16" s="20"/>
      <c r="AF16" s="20"/>
      <c r="AG16" s="20"/>
      <c r="AH16" s="20"/>
      <c r="AI16" s="20"/>
      <c r="AJ16" s="20"/>
      <c r="AK16" s="23"/>
      <c r="AL16" s="23"/>
      <c r="AM16" s="111"/>
      <c r="AN16" s="114"/>
      <c r="AO16" s="114"/>
      <c r="AP16" s="114"/>
      <c r="AQ16" s="114"/>
      <c r="AR16" s="114"/>
      <c r="AS16" s="114"/>
      <c r="AT16" s="23"/>
      <c r="AU16" s="23"/>
      <c r="AV16" s="23"/>
      <c r="AW16" s="23"/>
      <c r="AX16" s="23"/>
      <c r="AY16" s="23"/>
      <c r="AZ16" s="23"/>
      <c r="BA16" s="23"/>
    </row>
    <row r="17" spans="1:53" s="105" customFormat="1" ht="14" x14ac:dyDescent="0.15">
      <c r="A17" s="35"/>
      <c r="B17" s="34"/>
      <c r="C17" s="34"/>
      <c r="D17" s="110"/>
      <c r="E17" s="34"/>
      <c r="F17" s="34"/>
      <c r="G17" s="94"/>
      <c r="H17" s="37"/>
      <c r="I17" s="37"/>
      <c r="J17" s="37"/>
      <c r="K17" s="16"/>
      <c r="L17" s="28"/>
      <c r="M17" s="17"/>
      <c r="N17" s="17"/>
      <c r="O17" s="17"/>
      <c r="P17" s="17"/>
      <c r="Q17" s="17"/>
      <c r="R17" s="28"/>
      <c r="S17" s="28"/>
      <c r="T17" s="17"/>
      <c r="U17" s="17"/>
      <c r="V17" s="28"/>
      <c r="W17" s="17"/>
      <c r="X17" s="17"/>
      <c r="Y17" s="36"/>
      <c r="Z17" s="18"/>
      <c r="AA17" s="36"/>
      <c r="AB17" s="19"/>
      <c r="AC17" s="20"/>
      <c r="AD17" s="21"/>
      <c r="AE17" s="20"/>
      <c r="AF17" s="20"/>
      <c r="AG17" s="20"/>
      <c r="AH17" s="20"/>
      <c r="AI17" s="20"/>
      <c r="AJ17" s="20"/>
      <c r="AK17" s="23"/>
      <c r="AL17" s="23"/>
      <c r="AM17" s="111"/>
      <c r="AN17" s="114"/>
      <c r="AO17" s="114"/>
      <c r="AP17" s="114"/>
      <c r="AQ17" s="114"/>
      <c r="AR17" s="114"/>
      <c r="AS17" s="114"/>
      <c r="AT17" s="23"/>
      <c r="AU17" s="23"/>
      <c r="AV17" s="23"/>
      <c r="AW17" s="23"/>
      <c r="AX17" s="23"/>
      <c r="AY17" s="23"/>
      <c r="AZ17" s="23"/>
      <c r="BA17" s="23"/>
    </row>
    <row r="18" spans="1:53" s="105" customFormat="1" ht="14" x14ac:dyDescent="0.15">
      <c r="A18" s="35"/>
      <c r="B18" s="34"/>
      <c r="C18" s="34"/>
      <c r="D18" s="110"/>
      <c r="E18" s="34"/>
      <c r="F18" s="34"/>
      <c r="G18" s="94"/>
      <c r="H18" s="37"/>
      <c r="I18" s="37"/>
      <c r="J18" s="37"/>
      <c r="K18" s="16"/>
      <c r="L18" s="28"/>
      <c r="M18" s="17"/>
      <c r="N18" s="17"/>
      <c r="O18" s="17"/>
      <c r="P18" s="17"/>
      <c r="Q18" s="17"/>
      <c r="R18" s="28"/>
      <c r="S18" s="28"/>
      <c r="T18" s="17"/>
      <c r="U18" s="17"/>
      <c r="V18" s="28"/>
      <c r="W18" s="17"/>
      <c r="X18" s="17"/>
      <c r="Y18" s="36"/>
      <c r="Z18" s="18"/>
      <c r="AA18" s="36"/>
      <c r="AB18" s="19"/>
      <c r="AC18" s="20"/>
      <c r="AD18" s="21"/>
      <c r="AE18" s="20"/>
      <c r="AF18" s="20"/>
      <c r="AG18" s="20"/>
      <c r="AH18" s="20"/>
      <c r="AI18" s="20"/>
      <c r="AJ18" s="20"/>
      <c r="AK18" s="23"/>
      <c r="AL18" s="23"/>
      <c r="AM18" s="111"/>
      <c r="AN18" s="114"/>
      <c r="AO18" s="114"/>
      <c r="AP18" s="114"/>
      <c r="AQ18" s="114"/>
      <c r="AR18" s="114"/>
      <c r="AS18" s="114"/>
      <c r="AT18" s="23"/>
      <c r="AU18" s="23"/>
      <c r="AV18" s="23"/>
      <c r="AW18" s="23"/>
      <c r="AX18" s="23"/>
      <c r="AY18" s="23"/>
      <c r="AZ18" s="23"/>
      <c r="BA18" s="23"/>
    </row>
    <row r="19" spans="1:53" s="105" customFormat="1" ht="14" x14ac:dyDescent="0.15">
      <c r="A19" s="35"/>
      <c r="B19" s="34"/>
      <c r="C19" s="34"/>
      <c r="D19" s="110"/>
      <c r="E19" s="34"/>
      <c r="F19" s="34"/>
      <c r="G19" s="94"/>
      <c r="H19" s="37"/>
      <c r="I19" s="37"/>
      <c r="J19" s="37"/>
      <c r="K19" s="16"/>
      <c r="L19" s="28"/>
      <c r="M19" s="17"/>
      <c r="N19" s="17"/>
      <c r="O19" s="17"/>
      <c r="P19" s="17"/>
      <c r="Q19" s="17"/>
      <c r="R19" s="28"/>
      <c r="S19" s="28"/>
      <c r="T19" s="17"/>
      <c r="U19" s="17"/>
      <c r="V19" s="28"/>
      <c r="W19" s="17"/>
      <c r="X19" s="17"/>
      <c r="Y19" s="36"/>
      <c r="Z19" s="18"/>
      <c r="AA19" s="36"/>
      <c r="AB19" s="19"/>
      <c r="AC19" s="20"/>
      <c r="AD19" s="21"/>
      <c r="AE19" s="20"/>
      <c r="AF19" s="20"/>
      <c r="AG19" s="20"/>
      <c r="AH19" s="20"/>
      <c r="AI19" s="20"/>
      <c r="AJ19" s="20"/>
      <c r="AK19" s="23"/>
      <c r="AL19" s="23"/>
      <c r="AM19" s="111"/>
      <c r="AN19" s="114"/>
      <c r="AO19" s="114"/>
      <c r="AP19" s="114"/>
      <c r="AQ19" s="114"/>
      <c r="AR19" s="114"/>
      <c r="AS19" s="114"/>
      <c r="AT19" s="23"/>
      <c r="AU19" s="23"/>
      <c r="AV19" s="23"/>
      <c r="AW19" s="23"/>
      <c r="AX19" s="23"/>
      <c r="AY19" s="23"/>
      <c r="AZ19" s="23"/>
      <c r="BA19" s="23"/>
    </row>
    <row r="20" spans="1:53" s="105" customFormat="1" ht="14" x14ac:dyDescent="0.15">
      <c r="A20" s="35"/>
      <c r="B20" s="34"/>
      <c r="C20" s="34"/>
      <c r="D20" s="110"/>
      <c r="E20" s="34"/>
      <c r="F20" s="34"/>
      <c r="G20" s="94"/>
      <c r="H20" s="37"/>
      <c r="I20" s="37"/>
      <c r="J20" s="37"/>
      <c r="K20" s="16"/>
      <c r="L20" s="28"/>
      <c r="M20" s="17"/>
      <c r="N20" s="17"/>
      <c r="O20" s="17"/>
      <c r="P20" s="17"/>
      <c r="Q20" s="17"/>
      <c r="R20" s="28"/>
      <c r="S20" s="28"/>
      <c r="T20" s="17"/>
      <c r="U20" s="17"/>
      <c r="V20" s="28"/>
      <c r="W20" s="17"/>
      <c r="X20" s="17"/>
      <c r="Y20" s="36"/>
      <c r="Z20" s="18"/>
      <c r="AA20" s="36"/>
      <c r="AB20" s="19"/>
      <c r="AC20" s="20"/>
      <c r="AD20" s="21"/>
      <c r="AE20" s="20"/>
      <c r="AF20" s="20"/>
      <c r="AG20" s="20"/>
      <c r="AH20" s="20"/>
      <c r="AI20" s="20"/>
      <c r="AJ20" s="20"/>
      <c r="AK20" s="23"/>
      <c r="AL20" s="23"/>
      <c r="AM20" s="111"/>
      <c r="AN20" s="114"/>
      <c r="AO20" s="114"/>
      <c r="AP20" s="114"/>
      <c r="AQ20" s="114"/>
      <c r="AR20" s="114"/>
      <c r="AS20" s="114"/>
      <c r="AT20" s="23"/>
      <c r="AU20" s="23"/>
      <c r="AV20" s="23"/>
      <c r="AW20" s="23"/>
      <c r="AX20" s="23"/>
      <c r="AY20" s="23"/>
      <c r="AZ20" s="23"/>
      <c r="BA20" s="23"/>
    </row>
    <row r="21" spans="1:53" s="105" customFormat="1" ht="14" x14ac:dyDescent="0.15">
      <c r="A21" s="35"/>
      <c r="B21" s="34"/>
      <c r="C21" s="34"/>
      <c r="D21" s="110"/>
      <c r="E21" s="34"/>
      <c r="F21" s="34"/>
      <c r="G21" s="94"/>
      <c r="H21" s="37"/>
      <c r="I21" s="37"/>
      <c r="J21" s="37"/>
      <c r="K21" s="16"/>
      <c r="L21" s="28"/>
      <c r="M21" s="17"/>
      <c r="N21" s="17"/>
      <c r="O21" s="17"/>
      <c r="P21" s="17"/>
      <c r="Q21" s="17"/>
      <c r="R21" s="28"/>
      <c r="S21" s="28"/>
      <c r="T21" s="17"/>
      <c r="U21" s="17"/>
      <c r="V21" s="28"/>
      <c r="W21" s="17"/>
      <c r="X21" s="17"/>
      <c r="Y21" s="36"/>
      <c r="Z21" s="18"/>
      <c r="AA21" s="36"/>
      <c r="AB21" s="19"/>
      <c r="AC21" s="20"/>
      <c r="AD21" s="21"/>
      <c r="AE21" s="20"/>
      <c r="AF21" s="20"/>
      <c r="AG21" s="20"/>
      <c r="AH21" s="20"/>
      <c r="AI21" s="20"/>
      <c r="AJ21" s="20"/>
      <c r="AK21" s="23"/>
      <c r="AL21" s="23"/>
      <c r="AM21" s="111"/>
      <c r="AN21" s="114"/>
      <c r="AO21" s="114"/>
      <c r="AP21" s="114"/>
      <c r="AQ21" s="114"/>
      <c r="AR21" s="114"/>
      <c r="AS21" s="114"/>
      <c r="AT21" s="23"/>
      <c r="AU21" s="23"/>
      <c r="AV21" s="23"/>
      <c r="AW21" s="23"/>
      <c r="AX21" s="23"/>
      <c r="AY21" s="23"/>
      <c r="AZ21" s="23"/>
      <c r="BA21" s="23"/>
    </row>
    <row r="22" spans="1:53" s="105" customFormat="1" ht="14" x14ac:dyDescent="0.15">
      <c r="A22" s="35"/>
      <c r="B22" s="34"/>
      <c r="C22" s="34"/>
      <c r="D22" s="110"/>
      <c r="E22" s="34"/>
      <c r="F22" s="34"/>
      <c r="G22" s="94"/>
      <c r="H22" s="37"/>
      <c r="I22" s="37"/>
      <c r="J22" s="37"/>
      <c r="K22" s="16"/>
      <c r="L22" s="28"/>
      <c r="M22" s="17"/>
      <c r="N22" s="17"/>
      <c r="O22" s="17"/>
      <c r="P22" s="17"/>
      <c r="Q22" s="17"/>
      <c r="R22" s="28"/>
      <c r="S22" s="28"/>
      <c r="T22" s="17"/>
      <c r="U22" s="17"/>
      <c r="V22" s="28"/>
      <c r="W22" s="17"/>
      <c r="X22" s="17"/>
      <c r="Y22" s="36"/>
      <c r="Z22" s="18"/>
      <c r="AA22" s="36"/>
      <c r="AB22" s="19"/>
      <c r="AC22" s="20"/>
      <c r="AD22" s="21"/>
      <c r="AE22" s="20"/>
      <c r="AF22" s="20"/>
      <c r="AG22" s="20"/>
      <c r="AH22" s="20"/>
      <c r="AI22" s="20"/>
      <c r="AJ22" s="20"/>
      <c r="AK22" s="23"/>
      <c r="AL22" s="23"/>
      <c r="AM22" s="111"/>
      <c r="AN22" s="114"/>
      <c r="AO22" s="114"/>
      <c r="AP22" s="114"/>
      <c r="AQ22" s="114"/>
      <c r="AR22" s="114"/>
      <c r="AS22" s="114"/>
      <c r="AT22" s="23"/>
      <c r="AU22" s="23"/>
      <c r="AV22" s="23"/>
      <c r="AW22" s="23"/>
      <c r="AX22" s="23"/>
      <c r="AY22" s="23"/>
      <c r="AZ22" s="23"/>
      <c r="BA22" s="23"/>
    </row>
    <row r="23" spans="1:53" s="105" customFormat="1" ht="14" x14ac:dyDescent="0.15">
      <c r="A23" s="35"/>
      <c r="B23" s="34"/>
      <c r="C23" s="34"/>
      <c r="D23" s="110"/>
      <c r="E23" s="34"/>
      <c r="F23" s="34"/>
      <c r="G23" s="94"/>
      <c r="H23" s="37"/>
      <c r="I23" s="37"/>
      <c r="J23" s="37"/>
      <c r="K23" s="16"/>
      <c r="L23" s="28"/>
      <c r="M23" s="17"/>
      <c r="N23" s="17"/>
      <c r="O23" s="17"/>
      <c r="P23" s="17"/>
      <c r="Q23" s="17"/>
      <c r="R23" s="28"/>
      <c r="S23" s="28"/>
      <c r="T23" s="17"/>
      <c r="U23" s="17"/>
      <c r="V23" s="28"/>
      <c r="W23" s="17"/>
      <c r="X23" s="17"/>
      <c r="Y23" s="36"/>
      <c r="Z23" s="18"/>
      <c r="AA23" s="36"/>
      <c r="AB23" s="19"/>
      <c r="AC23" s="20"/>
      <c r="AD23" s="21"/>
      <c r="AE23" s="20"/>
      <c r="AF23" s="20"/>
      <c r="AG23" s="20"/>
      <c r="AH23" s="20"/>
      <c r="AI23" s="20"/>
      <c r="AJ23" s="20"/>
      <c r="AK23" s="23"/>
      <c r="AL23" s="23"/>
      <c r="AM23" s="111"/>
      <c r="AN23" s="114"/>
      <c r="AO23" s="114"/>
      <c r="AP23" s="114"/>
      <c r="AQ23" s="114"/>
      <c r="AR23" s="114"/>
      <c r="AS23" s="114"/>
      <c r="AT23" s="23"/>
      <c r="AU23" s="23"/>
      <c r="AV23" s="23"/>
      <c r="AW23" s="23"/>
      <c r="AX23" s="23"/>
      <c r="AY23" s="23"/>
      <c r="AZ23" s="23"/>
      <c r="BA23" s="23"/>
    </row>
    <row r="24" spans="1:53" s="105" customFormat="1" ht="14" x14ac:dyDescent="0.15">
      <c r="A24" s="35"/>
      <c r="B24" s="34"/>
      <c r="C24" s="34"/>
      <c r="D24" s="110"/>
      <c r="E24" s="34"/>
      <c r="F24" s="34"/>
      <c r="G24" s="94"/>
      <c r="H24" s="37"/>
      <c r="I24" s="37"/>
      <c r="J24" s="37"/>
      <c r="K24" s="16"/>
      <c r="L24" s="28"/>
      <c r="M24" s="17"/>
      <c r="N24" s="17"/>
      <c r="O24" s="17"/>
      <c r="P24" s="17"/>
      <c r="Q24" s="17"/>
      <c r="R24" s="28"/>
      <c r="S24" s="28"/>
      <c r="T24" s="17"/>
      <c r="U24" s="17"/>
      <c r="V24" s="28"/>
      <c r="W24" s="17"/>
      <c r="X24" s="17"/>
      <c r="Y24" s="36"/>
      <c r="Z24" s="18"/>
      <c r="AA24" s="36"/>
      <c r="AB24" s="19"/>
      <c r="AC24" s="20"/>
      <c r="AD24" s="21"/>
      <c r="AE24" s="20"/>
      <c r="AF24" s="20"/>
      <c r="AG24" s="20"/>
      <c r="AH24" s="20"/>
      <c r="AI24" s="20"/>
      <c r="AJ24" s="20"/>
      <c r="AK24" s="23"/>
      <c r="AL24" s="23"/>
      <c r="AM24" s="111"/>
      <c r="AN24" s="114"/>
      <c r="AO24" s="114"/>
      <c r="AP24" s="114"/>
      <c r="AQ24" s="114"/>
      <c r="AR24" s="114"/>
      <c r="AS24" s="114"/>
      <c r="AT24" s="23"/>
      <c r="AU24" s="23"/>
      <c r="AV24" s="23"/>
      <c r="AW24" s="23"/>
      <c r="AX24" s="23"/>
      <c r="AY24" s="23"/>
      <c r="AZ24" s="23"/>
      <c r="BA24" s="23"/>
    </row>
    <row r="25" spans="1:53" s="105" customFormat="1" ht="14" x14ac:dyDescent="0.15">
      <c r="A25" s="35"/>
      <c r="B25" s="34"/>
      <c r="C25" s="34"/>
      <c r="D25" s="110"/>
      <c r="E25" s="34"/>
      <c r="F25" s="34"/>
      <c r="G25" s="94"/>
      <c r="H25" s="37"/>
      <c r="I25" s="37"/>
      <c r="J25" s="37"/>
      <c r="K25" s="16"/>
      <c r="L25" s="28"/>
      <c r="M25" s="17"/>
      <c r="N25" s="17"/>
      <c r="O25" s="17"/>
      <c r="P25" s="17"/>
      <c r="Q25" s="17"/>
      <c r="R25" s="28"/>
      <c r="S25" s="28"/>
      <c r="T25" s="17"/>
      <c r="U25" s="17"/>
      <c r="V25" s="28"/>
      <c r="W25" s="17"/>
      <c r="X25" s="17"/>
      <c r="Y25" s="36"/>
      <c r="Z25" s="18"/>
      <c r="AA25" s="36"/>
      <c r="AB25" s="19"/>
      <c r="AC25" s="20"/>
      <c r="AD25" s="21"/>
      <c r="AE25" s="20"/>
      <c r="AF25" s="20"/>
      <c r="AG25" s="20"/>
      <c r="AH25" s="20"/>
      <c r="AI25" s="20"/>
      <c r="AJ25" s="20"/>
      <c r="AK25" s="23"/>
      <c r="AL25" s="23"/>
      <c r="AM25" s="111"/>
      <c r="AN25" s="114"/>
      <c r="AO25" s="114"/>
      <c r="AP25" s="114"/>
      <c r="AQ25" s="114"/>
      <c r="AR25" s="114"/>
      <c r="AS25" s="114"/>
      <c r="AT25" s="23"/>
      <c r="AU25" s="23"/>
      <c r="AV25" s="23"/>
      <c r="AW25" s="23"/>
      <c r="AX25" s="23"/>
      <c r="AY25" s="23"/>
      <c r="AZ25" s="23"/>
      <c r="BA25" s="23"/>
    </row>
    <row r="26" spans="1:53" s="105" customFormat="1" ht="14" x14ac:dyDescent="0.15">
      <c r="A26" s="35"/>
      <c r="B26" s="34"/>
      <c r="C26" s="34"/>
      <c r="D26" s="110"/>
      <c r="E26" s="34"/>
      <c r="F26" s="34"/>
      <c r="G26" s="94"/>
      <c r="H26" s="37"/>
      <c r="I26" s="37"/>
      <c r="J26" s="37"/>
      <c r="K26" s="16"/>
      <c r="L26" s="28"/>
      <c r="M26" s="17"/>
      <c r="N26" s="17"/>
      <c r="O26" s="17"/>
      <c r="P26" s="17"/>
      <c r="Q26" s="17"/>
      <c r="R26" s="28"/>
      <c r="S26" s="28"/>
      <c r="T26" s="17"/>
      <c r="U26" s="17"/>
      <c r="V26" s="28"/>
      <c r="W26" s="17"/>
      <c r="X26" s="17"/>
      <c r="Y26" s="36"/>
      <c r="Z26" s="18"/>
      <c r="AA26" s="36"/>
      <c r="AB26" s="19"/>
      <c r="AC26" s="20"/>
      <c r="AD26" s="21"/>
      <c r="AE26" s="20"/>
      <c r="AF26" s="20"/>
      <c r="AG26" s="20"/>
      <c r="AH26" s="20"/>
      <c r="AI26" s="20"/>
      <c r="AJ26" s="20"/>
      <c r="AK26" s="23"/>
      <c r="AL26" s="23"/>
      <c r="AM26" s="111"/>
      <c r="AN26" s="114"/>
      <c r="AO26" s="114"/>
      <c r="AP26" s="114"/>
      <c r="AQ26" s="114"/>
      <c r="AR26" s="114"/>
      <c r="AS26" s="114"/>
      <c r="AT26" s="23"/>
      <c r="AU26" s="23"/>
      <c r="AV26" s="23"/>
      <c r="AW26" s="23"/>
      <c r="AX26" s="23"/>
      <c r="AY26" s="23"/>
      <c r="AZ26" s="23"/>
      <c r="BA26" s="23"/>
    </row>
    <row r="27" spans="1:53" s="105" customFormat="1" ht="14" x14ac:dyDescent="0.15">
      <c r="A27" s="35"/>
      <c r="B27" s="34"/>
      <c r="C27" s="34"/>
      <c r="D27" s="110"/>
      <c r="E27" s="34"/>
      <c r="F27" s="34"/>
      <c r="G27" s="94"/>
      <c r="H27" s="37"/>
      <c r="I27" s="37"/>
      <c r="J27" s="37"/>
      <c r="K27" s="16"/>
      <c r="L27" s="28"/>
      <c r="M27" s="17"/>
      <c r="N27" s="17"/>
      <c r="O27" s="17"/>
      <c r="P27" s="17"/>
      <c r="Q27" s="17"/>
      <c r="R27" s="28"/>
      <c r="S27" s="28"/>
      <c r="T27" s="17"/>
      <c r="U27" s="17"/>
      <c r="V27" s="28"/>
      <c r="W27" s="17"/>
      <c r="X27" s="17"/>
      <c r="Y27" s="36"/>
      <c r="Z27" s="18"/>
      <c r="AA27" s="36"/>
      <c r="AB27" s="19"/>
      <c r="AC27" s="20"/>
      <c r="AD27" s="21"/>
      <c r="AE27" s="20"/>
      <c r="AF27" s="20"/>
      <c r="AG27" s="20"/>
      <c r="AH27" s="20"/>
      <c r="AI27" s="20"/>
      <c r="AJ27" s="20"/>
      <c r="AK27" s="23"/>
      <c r="AL27" s="23"/>
      <c r="AM27" s="111"/>
      <c r="AN27" s="114"/>
      <c r="AO27" s="114"/>
      <c r="AP27" s="114"/>
      <c r="AQ27" s="114"/>
      <c r="AR27" s="114"/>
      <c r="AS27" s="114"/>
      <c r="AT27" s="23"/>
      <c r="AU27" s="23"/>
      <c r="AV27" s="23"/>
      <c r="AW27" s="23"/>
      <c r="AX27" s="23"/>
      <c r="AY27" s="23"/>
      <c r="AZ27" s="23"/>
      <c r="BA27" s="23"/>
    </row>
    <row r="28" spans="1:53" s="105" customFormat="1" ht="14" x14ac:dyDescent="0.15">
      <c r="A28" s="35"/>
      <c r="B28" s="34"/>
      <c r="C28" s="34"/>
      <c r="D28" s="110"/>
      <c r="E28" s="34"/>
      <c r="F28" s="34"/>
      <c r="G28" s="94"/>
      <c r="H28" s="37"/>
      <c r="I28" s="37"/>
      <c r="J28" s="37"/>
      <c r="K28" s="16"/>
      <c r="L28" s="28"/>
      <c r="M28" s="17"/>
      <c r="N28" s="17"/>
      <c r="O28" s="17"/>
      <c r="P28" s="17"/>
      <c r="Q28" s="17"/>
      <c r="R28" s="28"/>
      <c r="S28" s="28"/>
      <c r="T28" s="17"/>
      <c r="U28" s="17"/>
      <c r="V28" s="28"/>
      <c r="W28" s="17"/>
      <c r="X28" s="17"/>
      <c r="Y28" s="36"/>
      <c r="Z28" s="18"/>
      <c r="AA28" s="36"/>
      <c r="AB28" s="19"/>
      <c r="AC28" s="20"/>
      <c r="AD28" s="21"/>
      <c r="AE28" s="20"/>
      <c r="AF28" s="20"/>
      <c r="AG28" s="20"/>
      <c r="AH28" s="20"/>
      <c r="AI28" s="20"/>
      <c r="AJ28" s="20"/>
      <c r="AK28" s="23"/>
      <c r="AL28" s="23"/>
      <c r="AM28" s="111"/>
      <c r="AN28" s="114"/>
      <c r="AO28" s="114"/>
      <c r="AP28" s="114"/>
      <c r="AQ28" s="114"/>
      <c r="AR28" s="114"/>
      <c r="AS28" s="114"/>
      <c r="AT28" s="23"/>
      <c r="AU28" s="23"/>
      <c r="AV28" s="23"/>
      <c r="AW28" s="23"/>
      <c r="AX28" s="23"/>
      <c r="AY28" s="23"/>
      <c r="AZ28" s="23"/>
      <c r="BA28" s="23"/>
    </row>
    <row r="29" spans="1:53" s="105" customFormat="1" ht="14" x14ac:dyDescent="0.15">
      <c r="A29" s="35"/>
      <c r="B29" s="34"/>
      <c r="C29" s="34"/>
      <c r="D29" s="110"/>
      <c r="E29" s="34"/>
      <c r="F29" s="34"/>
      <c r="G29" s="94"/>
      <c r="H29" s="37"/>
      <c r="I29" s="37"/>
      <c r="J29" s="37"/>
      <c r="K29" s="16"/>
      <c r="L29" s="28"/>
      <c r="M29" s="17"/>
      <c r="N29" s="17"/>
      <c r="O29" s="17"/>
      <c r="P29" s="17"/>
      <c r="Q29" s="17"/>
      <c r="R29" s="28"/>
      <c r="S29" s="28"/>
      <c r="T29" s="17"/>
      <c r="U29" s="17"/>
      <c r="V29" s="28"/>
      <c r="W29" s="17"/>
      <c r="X29" s="17"/>
      <c r="Y29" s="36"/>
      <c r="Z29" s="18"/>
      <c r="AA29" s="36"/>
      <c r="AB29" s="19"/>
      <c r="AC29" s="20"/>
      <c r="AD29" s="21"/>
      <c r="AE29" s="20"/>
      <c r="AF29" s="20"/>
      <c r="AG29" s="20"/>
      <c r="AH29" s="20"/>
      <c r="AI29" s="20"/>
      <c r="AJ29" s="20"/>
      <c r="AK29" s="23"/>
      <c r="AL29" s="23"/>
      <c r="AM29" s="111"/>
      <c r="AN29" s="114"/>
      <c r="AO29" s="114"/>
      <c r="AP29" s="114"/>
      <c r="AQ29" s="114"/>
      <c r="AR29" s="114"/>
      <c r="AS29" s="114"/>
      <c r="AT29" s="23"/>
      <c r="AU29" s="23"/>
      <c r="AV29" s="23"/>
      <c r="AW29" s="23"/>
      <c r="AX29" s="23"/>
      <c r="AY29" s="23"/>
      <c r="AZ29" s="23"/>
      <c r="BA29" s="23"/>
    </row>
    <row r="30" spans="1:53" s="105" customFormat="1" ht="14" x14ac:dyDescent="0.15">
      <c r="A30" s="35"/>
      <c r="B30" s="34"/>
      <c r="C30" s="34"/>
      <c r="D30" s="110"/>
      <c r="E30" s="34"/>
      <c r="F30" s="34"/>
      <c r="G30" s="94"/>
      <c r="H30" s="37"/>
      <c r="I30" s="37"/>
      <c r="J30" s="37"/>
      <c r="K30" s="16"/>
      <c r="L30" s="28"/>
      <c r="M30" s="17"/>
      <c r="N30" s="17"/>
      <c r="O30" s="17"/>
      <c r="P30" s="17"/>
      <c r="Q30" s="17"/>
      <c r="R30" s="28"/>
      <c r="S30" s="28"/>
      <c r="T30" s="17"/>
      <c r="U30" s="17"/>
      <c r="V30" s="28"/>
      <c r="W30" s="17"/>
      <c r="X30" s="17"/>
      <c r="Y30" s="36"/>
      <c r="Z30" s="18"/>
      <c r="AA30" s="36"/>
      <c r="AB30" s="19"/>
      <c r="AC30" s="20"/>
      <c r="AD30" s="21"/>
      <c r="AE30" s="20"/>
      <c r="AF30" s="20"/>
      <c r="AG30" s="20"/>
      <c r="AH30" s="20"/>
      <c r="AI30" s="20"/>
      <c r="AJ30" s="20"/>
      <c r="AK30" s="23"/>
      <c r="AL30" s="23"/>
      <c r="AM30" s="111"/>
      <c r="AN30" s="114"/>
      <c r="AO30" s="114"/>
      <c r="AP30" s="114"/>
      <c r="AQ30" s="114"/>
      <c r="AR30" s="114"/>
      <c r="AS30" s="114"/>
      <c r="AT30" s="23"/>
      <c r="AU30" s="23"/>
      <c r="AV30" s="23"/>
      <c r="AW30" s="23"/>
      <c r="AX30" s="23"/>
      <c r="AY30" s="23"/>
      <c r="AZ30" s="23"/>
      <c r="BA30" s="23"/>
    </row>
    <row r="31" spans="1:53" s="105" customFormat="1" ht="14" x14ac:dyDescent="0.15">
      <c r="A31" s="35"/>
      <c r="B31" s="34"/>
      <c r="C31" s="34"/>
      <c r="D31" s="110"/>
      <c r="E31" s="34"/>
      <c r="F31" s="34"/>
      <c r="G31" s="94"/>
      <c r="H31" s="37"/>
      <c r="I31" s="37"/>
      <c r="J31" s="37"/>
      <c r="K31" s="16"/>
      <c r="L31" s="28"/>
      <c r="M31" s="17"/>
      <c r="N31" s="17"/>
      <c r="O31" s="17"/>
      <c r="P31" s="17"/>
      <c r="Q31" s="17"/>
      <c r="R31" s="28"/>
      <c r="S31" s="28"/>
      <c r="T31" s="17"/>
      <c r="U31" s="17"/>
      <c r="V31" s="28"/>
      <c r="W31" s="17"/>
      <c r="X31" s="17"/>
      <c r="Y31" s="36"/>
      <c r="Z31" s="18"/>
      <c r="AA31" s="36"/>
      <c r="AB31" s="19"/>
      <c r="AC31" s="20"/>
      <c r="AD31" s="21"/>
      <c r="AE31" s="20"/>
      <c r="AF31" s="20"/>
      <c r="AG31" s="20"/>
      <c r="AH31" s="20"/>
      <c r="AI31" s="20"/>
      <c r="AJ31" s="20"/>
      <c r="AK31" s="23"/>
      <c r="AL31" s="23"/>
      <c r="AM31" s="111"/>
      <c r="AN31" s="114"/>
      <c r="AO31" s="114"/>
      <c r="AP31" s="114"/>
      <c r="AQ31" s="114"/>
      <c r="AR31" s="114"/>
      <c r="AS31" s="114"/>
      <c r="AT31" s="23"/>
      <c r="AU31" s="23"/>
      <c r="AV31" s="23"/>
      <c r="AW31" s="23"/>
      <c r="AX31" s="23"/>
      <c r="AY31" s="23"/>
      <c r="AZ31" s="23"/>
      <c r="BA31" s="23"/>
    </row>
    <row r="32" spans="1:53" s="105" customFormat="1" ht="14" x14ac:dyDescent="0.15">
      <c r="A32" s="35"/>
      <c r="B32" s="34"/>
      <c r="C32" s="34"/>
      <c r="D32" s="110"/>
      <c r="E32" s="34"/>
      <c r="F32" s="34"/>
      <c r="G32" s="94"/>
      <c r="H32" s="37"/>
      <c r="I32" s="37"/>
      <c r="J32" s="37"/>
      <c r="K32" s="16"/>
      <c r="L32" s="28"/>
      <c r="M32" s="17"/>
      <c r="N32" s="17"/>
      <c r="O32" s="17"/>
      <c r="P32" s="17"/>
      <c r="Q32" s="17"/>
      <c r="R32" s="28"/>
      <c r="S32" s="28"/>
      <c r="T32" s="17"/>
      <c r="U32" s="17"/>
      <c r="V32" s="28"/>
      <c r="W32" s="17"/>
      <c r="X32" s="17"/>
      <c r="Y32" s="36"/>
      <c r="Z32" s="18"/>
      <c r="AA32" s="36"/>
      <c r="AB32" s="19"/>
      <c r="AC32" s="20"/>
      <c r="AD32" s="21"/>
      <c r="AE32" s="20"/>
      <c r="AF32" s="20"/>
      <c r="AG32" s="20"/>
      <c r="AH32" s="20"/>
      <c r="AI32" s="20"/>
      <c r="AJ32" s="20"/>
      <c r="AK32" s="23"/>
      <c r="AL32" s="23"/>
      <c r="AM32" s="111"/>
      <c r="AN32" s="114"/>
      <c r="AO32" s="114"/>
      <c r="AP32" s="114"/>
      <c r="AQ32" s="114"/>
      <c r="AR32" s="114"/>
      <c r="AS32" s="114"/>
      <c r="AT32" s="23"/>
      <c r="AU32" s="23"/>
      <c r="AV32" s="23"/>
      <c r="AW32" s="23"/>
      <c r="AX32" s="23"/>
      <c r="AY32" s="23"/>
      <c r="AZ32" s="23"/>
      <c r="BA32" s="23"/>
    </row>
    <row r="33" spans="1:53" s="105" customFormat="1" ht="14" x14ac:dyDescent="0.15">
      <c r="A33" s="35"/>
      <c r="B33" s="34"/>
      <c r="C33" s="34"/>
      <c r="D33" s="110"/>
      <c r="E33" s="34"/>
      <c r="F33" s="34"/>
      <c r="G33" s="94"/>
      <c r="H33" s="37"/>
      <c r="I33" s="37"/>
      <c r="J33" s="37"/>
      <c r="K33" s="16"/>
      <c r="L33" s="28"/>
      <c r="M33" s="17"/>
      <c r="N33" s="17"/>
      <c r="O33" s="17"/>
      <c r="P33" s="17"/>
      <c r="Q33" s="17"/>
      <c r="R33" s="28"/>
      <c r="S33" s="28"/>
      <c r="T33" s="17"/>
      <c r="U33" s="17"/>
      <c r="V33" s="28"/>
      <c r="W33" s="17"/>
      <c r="X33" s="17"/>
      <c r="Y33" s="36"/>
      <c r="Z33" s="18"/>
      <c r="AA33" s="36"/>
      <c r="AB33" s="19"/>
      <c r="AC33" s="20"/>
      <c r="AD33" s="21"/>
      <c r="AE33" s="20"/>
      <c r="AF33" s="20"/>
      <c r="AG33" s="20"/>
      <c r="AH33" s="20"/>
      <c r="AI33" s="20"/>
      <c r="AJ33" s="20"/>
      <c r="AK33" s="23"/>
      <c r="AL33" s="23"/>
      <c r="AM33" s="111"/>
      <c r="AN33" s="114"/>
      <c r="AO33" s="114"/>
      <c r="AP33" s="114"/>
      <c r="AQ33" s="114"/>
      <c r="AR33" s="114"/>
      <c r="AS33" s="114"/>
      <c r="AT33" s="23"/>
      <c r="AU33" s="23"/>
      <c r="AV33" s="23"/>
      <c r="AW33" s="23"/>
      <c r="AX33" s="23"/>
      <c r="AY33" s="23"/>
      <c r="AZ33" s="23"/>
      <c r="BA33" s="23"/>
    </row>
    <row r="34" spans="1:53" s="105" customFormat="1" ht="14" x14ac:dyDescent="0.15">
      <c r="A34" s="35"/>
      <c r="B34" s="34"/>
      <c r="C34" s="34"/>
      <c r="D34" s="110"/>
      <c r="E34" s="34"/>
      <c r="F34" s="34"/>
      <c r="G34" s="94"/>
      <c r="H34" s="37"/>
      <c r="I34" s="37"/>
      <c r="J34" s="37"/>
      <c r="K34" s="16"/>
      <c r="L34" s="28"/>
      <c r="M34" s="17"/>
      <c r="N34" s="17"/>
      <c r="O34" s="17"/>
      <c r="P34" s="17"/>
      <c r="Q34" s="17"/>
      <c r="R34" s="28"/>
      <c r="S34" s="28"/>
      <c r="T34" s="17"/>
      <c r="U34" s="17"/>
      <c r="V34" s="28"/>
      <c r="W34" s="17"/>
      <c r="X34" s="17"/>
      <c r="Y34" s="36"/>
      <c r="Z34" s="18"/>
      <c r="AA34" s="36"/>
      <c r="AB34" s="19"/>
      <c r="AC34" s="20"/>
      <c r="AD34" s="21"/>
      <c r="AE34" s="20"/>
      <c r="AF34" s="20"/>
      <c r="AG34" s="20"/>
      <c r="AH34" s="20"/>
      <c r="AI34" s="20"/>
      <c r="AJ34" s="20"/>
      <c r="AK34" s="23"/>
      <c r="AL34" s="23"/>
      <c r="AM34" s="111"/>
      <c r="AN34" s="114"/>
      <c r="AO34" s="114"/>
      <c r="AP34" s="114"/>
      <c r="AQ34" s="114"/>
      <c r="AR34" s="114"/>
      <c r="AS34" s="114"/>
      <c r="AT34" s="23"/>
      <c r="AU34" s="23"/>
      <c r="AV34" s="23"/>
      <c r="AW34" s="23"/>
      <c r="AX34" s="23"/>
      <c r="AY34" s="23"/>
      <c r="AZ34" s="23"/>
      <c r="BA34" s="23"/>
    </row>
    <row r="35" spans="1:53" s="105" customFormat="1" ht="14" x14ac:dyDescent="0.15">
      <c r="A35" s="35"/>
      <c r="B35" s="34"/>
      <c r="C35" s="34"/>
      <c r="D35" s="110"/>
      <c r="E35" s="34"/>
      <c r="F35" s="34"/>
      <c r="G35" s="94"/>
      <c r="H35" s="37"/>
      <c r="I35" s="37"/>
      <c r="J35" s="37"/>
      <c r="K35" s="16"/>
      <c r="L35" s="28"/>
      <c r="M35" s="17"/>
      <c r="N35" s="17"/>
      <c r="O35" s="17"/>
      <c r="P35" s="17"/>
      <c r="Q35" s="17"/>
      <c r="R35" s="28"/>
      <c r="S35" s="28"/>
      <c r="T35" s="17"/>
      <c r="U35" s="17"/>
      <c r="V35" s="28"/>
      <c r="W35" s="17"/>
      <c r="X35" s="17"/>
      <c r="Y35" s="36"/>
      <c r="Z35" s="18"/>
      <c r="AA35" s="36"/>
      <c r="AB35" s="19"/>
      <c r="AC35" s="20"/>
      <c r="AD35" s="21"/>
      <c r="AE35" s="20"/>
      <c r="AF35" s="20"/>
      <c r="AG35" s="20"/>
      <c r="AH35" s="20"/>
      <c r="AI35" s="20"/>
      <c r="AJ35" s="20"/>
      <c r="AK35" s="23"/>
      <c r="AL35" s="23"/>
      <c r="AM35" s="111"/>
      <c r="AN35" s="114"/>
      <c r="AO35" s="114"/>
      <c r="AP35" s="114"/>
      <c r="AQ35" s="114"/>
      <c r="AR35" s="114"/>
      <c r="AS35" s="114"/>
      <c r="AT35" s="23"/>
      <c r="AU35" s="23"/>
      <c r="AV35" s="23"/>
      <c r="AW35" s="23"/>
      <c r="AX35" s="23"/>
      <c r="AY35" s="23"/>
      <c r="AZ35" s="23"/>
      <c r="BA35" s="23"/>
    </row>
    <row r="36" spans="1:53" s="105" customFormat="1" ht="14" x14ac:dyDescent="0.15">
      <c r="A36" s="35"/>
      <c r="B36" s="34"/>
      <c r="C36" s="34"/>
      <c r="D36" s="110"/>
      <c r="E36" s="34"/>
      <c r="F36" s="34"/>
      <c r="G36" s="94"/>
      <c r="H36" s="37"/>
      <c r="I36" s="37"/>
      <c r="J36" s="37"/>
      <c r="K36" s="16"/>
      <c r="L36" s="28"/>
      <c r="M36" s="17"/>
      <c r="N36" s="17"/>
      <c r="O36" s="17"/>
      <c r="P36" s="17"/>
      <c r="Q36" s="17"/>
      <c r="R36" s="28"/>
      <c r="S36" s="28"/>
      <c r="T36" s="17"/>
      <c r="U36" s="17"/>
      <c r="V36" s="28"/>
      <c r="W36" s="17"/>
      <c r="X36" s="17"/>
      <c r="Y36" s="36"/>
      <c r="Z36" s="18"/>
      <c r="AA36" s="36"/>
      <c r="AB36" s="19"/>
      <c r="AC36" s="20"/>
      <c r="AD36" s="21"/>
      <c r="AE36" s="20"/>
      <c r="AF36" s="20"/>
      <c r="AG36" s="20"/>
      <c r="AH36" s="20"/>
      <c r="AI36" s="20"/>
      <c r="AJ36" s="20"/>
      <c r="AK36" s="23"/>
      <c r="AL36" s="23"/>
      <c r="AM36" s="111"/>
      <c r="AN36" s="114"/>
      <c r="AO36" s="114"/>
      <c r="AP36" s="114"/>
      <c r="AQ36" s="114"/>
      <c r="AR36" s="114"/>
      <c r="AS36" s="114"/>
      <c r="AT36" s="23"/>
      <c r="AU36" s="23"/>
      <c r="AV36" s="23"/>
      <c r="AW36" s="23"/>
      <c r="AX36" s="23"/>
      <c r="AY36" s="23"/>
      <c r="AZ36" s="23"/>
      <c r="BA36" s="23"/>
    </row>
    <row r="37" spans="1:53" s="105" customFormat="1" ht="14" x14ac:dyDescent="0.15">
      <c r="A37" s="35"/>
      <c r="B37" s="34"/>
      <c r="C37" s="34"/>
      <c r="D37" s="110"/>
      <c r="E37" s="34"/>
      <c r="F37" s="34"/>
      <c r="G37" s="94"/>
      <c r="H37" s="37"/>
      <c r="I37" s="37"/>
      <c r="J37" s="37"/>
      <c r="K37" s="16"/>
      <c r="L37" s="28"/>
      <c r="M37" s="17"/>
      <c r="N37" s="17"/>
      <c r="O37" s="17"/>
      <c r="P37" s="17"/>
      <c r="Q37" s="17"/>
      <c r="R37" s="28"/>
      <c r="S37" s="28"/>
      <c r="T37" s="17"/>
      <c r="U37" s="17"/>
      <c r="V37" s="28"/>
      <c r="W37" s="17"/>
      <c r="X37" s="17"/>
      <c r="Y37" s="36"/>
      <c r="Z37" s="18"/>
      <c r="AA37" s="36"/>
      <c r="AB37" s="19"/>
      <c r="AC37" s="20"/>
      <c r="AD37" s="21"/>
      <c r="AE37" s="20"/>
      <c r="AF37" s="20"/>
      <c r="AG37" s="20"/>
      <c r="AH37" s="20"/>
      <c r="AI37" s="20"/>
      <c r="AJ37" s="20"/>
      <c r="AK37" s="23"/>
      <c r="AL37" s="23"/>
      <c r="AM37" s="111"/>
      <c r="AN37" s="114"/>
      <c r="AO37" s="114"/>
      <c r="AP37" s="114"/>
      <c r="AQ37" s="114"/>
      <c r="AR37" s="114"/>
      <c r="AS37" s="114"/>
      <c r="AT37" s="23"/>
      <c r="AU37" s="23"/>
      <c r="AV37" s="23"/>
      <c r="AW37" s="23"/>
      <c r="AX37" s="23"/>
      <c r="AY37" s="23"/>
      <c r="AZ37" s="23"/>
      <c r="BA37" s="23"/>
    </row>
    <row r="38" spans="1:53" s="105" customFormat="1" ht="14" x14ac:dyDescent="0.15">
      <c r="A38" s="35"/>
      <c r="B38" s="34"/>
      <c r="C38" s="34"/>
      <c r="D38" s="110"/>
      <c r="E38" s="34"/>
      <c r="F38" s="34"/>
      <c r="G38" s="94"/>
      <c r="H38" s="37"/>
      <c r="I38" s="37"/>
      <c r="J38" s="37"/>
      <c r="K38" s="16"/>
      <c r="L38" s="28"/>
      <c r="M38" s="17"/>
      <c r="N38" s="17"/>
      <c r="O38" s="17"/>
      <c r="P38" s="17"/>
      <c r="Q38" s="17"/>
      <c r="R38" s="28"/>
      <c r="S38" s="28"/>
      <c r="T38" s="17"/>
      <c r="U38" s="17"/>
      <c r="V38" s="28"/>
      <c r="W38" s="17"/>
      <c r="X38" s="17"/>
      <c r="Y38" s="36"/>
      <c r="Z38" s="18"/>
      <c r="AA38" s="36"/>
      <c r="AB38" s="19"/>
      <c r="AC38" s="20"/>
      <c r="AD38" s="21"/>
      <c r="AE38" s="20"/>
      <c r="AF38" s="20"/>
      <c r="AG38" s="20"/>
      <c r="AH38" s="20"/>
      <c r="AI38" s="20"/>
      <c r="AJ38" s="20"/>
      <c r="AK38" s="23"/>
      <c r="AL38" s="23"/>
      <c r="AM38" s="111"/>
      <c r="AN38" s="114"/>
      <c r="AO38" s="114"/>
      <c r="AP38" s="114"/>
      <c r="AQ38" s="114"/>
      <c r="AR38" s="114"/>
      <c r="AS38" s="114"/>
      <c r="AT38" s="23"/>
      <c r="AU38" s="23"/>
      <c r="AV38" s="23"/>
      <c r="AW38" s="23"/>
      <c r="AX38" s="23"/>
      <c r="AY38" s="23"/>
      <c r="AZ38" s="23"/>
      <c r="BA38" s="23"/>
    </row>
    <row r="39" spans="1:53" s="105" customFormat="1" ht="14" x14ac:dyDescent="0.15">
      <c r="A39" s="35"/>
      <c r="B39" s="34"/>
      <c r="C39" s="34"/>
      <c r="D39" s="110"/>
      <c r="E39" s="34"/>
      <c r="F39" s="34"/>
      <c r="G39" s="94"/>
      <c r="H39" s="37"/>
      <c r="I39" s="37"/>
      <c r="J39" s="37"/>
      <c r="K39" s="16"/>
      <c r="L39" s="28"/>
      <c r="M39" s="17"/>
      <c r="N39" s="17"/>
      <c r="O39" s="17"/>
      <c r="P39" s="17"/>
      <c r="Q39" s="17"/>
      <c r="R39" s="28"/>
      <c r="S39" s="28"/>
      <c r="T39" s="17"/>
      <c r="U39" s="17"/>
      <c r="V39" s="28"/>
      <c r="W39" s="17"/>
      <c r="X39" s="17"/>
      <c r="Y39" s="36"/>
      <c r="Z39" s="18"/>
      <c r="AA39" s="36"/>
      <c r="AB39" s="19"/>
      <c r="AC39" s="20"/>
      <c r="AD39" s="21"/>
      <c r="AE39" s="20"/>
      <c r="AF39" s="20"/>
      <c r="AG39" s="20"/>
      <c r="AH39" s="20"/>
      <c r="AI39" s="20"/>
      <c r="AJ39" s="20"/>
      <c r="AK39" s="23"/>
      <c r="AL39" s="23"/>
      <c r="AM39" s="111"/>
      <c r="AN39" s="114"/>
      <c r="AO39" s="114"/>
      <c r="AP39" s="114"/>
      <c r="AQ39" s="114"/>
      <c r="AR39" s="114"/>
      <c r="AS39" s="114"/>
      <c r="AT39" s="23"/>
      <c r="AU39" s="23"/>
      <c r="AV39" s="23"/>
      <c r="AW39" s="23"/>
      <c r="AX39" s="23"/>
      <c r="AY39" s="23"/>
      <c r="AZ39" s="23"/>
      <c r="BA39" s="23"/>
    </row>
    <row r="40" spans="1:53" s="105" customFormat="1" ht="14" x14ac:dyDescent="0.15">
      <c r="A40" s="35"/>
      <c r="B40" s="34"/>
      <c r="C40" s="34"/>
      <c r="D40" s="110"/>
      <c r="E40" s="34"/>
      <c r="F40" s="34"/>
      <c r="G40" s="94"/>
      <c r="H40" s="37"/>
      <c r="I40" s="37"/>
      <c r="J40" s="37"/>
      <c r="K40" s="16"/>
      <c r="L40" s="28"/>
      <c r="M40" s="17"/>
      <c r="N40" s="17"/>
      <c r="O40" s="17"/>
      <c r="P40" s="17"/>
      <c r="Q40" s="17"/>
      <c r="R40" s="28"/>
      <c r="S40" s="28"/>
      <c r="T40" s="17"/>
      <c r="U40" s="17"/>
      <c r="V40" s="28"/>
      <c r="W40" s="17"/>
      <c r="X40" s="17"/>
      <c r="Y40" s="36"/>
      <c r="Z40" s="18"/>
      <c r="AA40" s="36"/>
      <c r="AB40" s="19"/>
      <c r="AC40" s="20"/>
      <c r="AD40" s="21"/>
      <c r="AE40" s="20"/>
      <c r="AF40" s="20"/>
      <c r="AG40" s="20"/>
      <c r="AH40" s="20"/>
      <c r="AI40" s="20"/>
      <c r="AJ40" s="20"/>
      <c r="AK40" s="23"/>
      <c r="AL40" s="23"/>
      <c r="AM40" s="111"/>
      <c r="AN40" s="114"/>
      <c r="AO40" s="114"/>
      <c r="AP40" s="114"/>
      <c r="AQ40" s="114"/>
      <c r="AR40" s="114"/>
      <c r="AS40" s="114"/>
      <c r="AT40" s="23"/>
      <c r="AU40" s="23"/>
      <c r="AV40" s="23"/>
      <c r="AW40" s="23"/>
      <c r="AX40" s="23"/>
      <c r="AY40" s="23"/>
      <c r="AZ40" s="23"/>
      <c r="BA40" s="23"/>
    </row>
    <row r="41" spans="1:53" s="105" customFormat="1" ht="14" x14ac:dyDescent="0.15">
      <c r="A41" s="35"/>
      <c r="B41" s="34"/>
      <c r="C41" s="34"/>
      <c r="D41" s="110"/>
      <c r="E41" s="34"/>
      <c r="F41" s="34"/>
      <c r="G41" s="94"/>
      <c r="H41" s="37"/>
      <c r="I41" s="37"/>
      <c r="J41" s="37"/>
      <c r="K41" s="16"/>
      <c r="L41" s="28"/>
      <c r="M41" s="17"/>
      <c r="N41" s="17"/>
      <c r="O41" s="17"/>
      <c r="P41" s="17"/>
      <c r="Q41" s="17"/>
      <c r="R41" s="28"/>
      <c r="S41" s="28"/>
      <c r="T41" s="17"/>
      <c r="U41" s="17"/>
      <c r="V41" s="28"/>
      <c r="W41" s="17"/>
      <c r="X41" s="17"/>
      <c r="Y41" s="36"/>
      <c r="Z41" s="18"/>
      <c r="AA41" s="36"/>
      <c r="AB41" s="19"/>
      <c r="AC41" s="20"/>
      <c r="AD41" s="21"/>
      <c r="AE41" s="20"/>
      <c r="AF41" s="20"/>
      <c r="AG41" s="20"/>
      <c r="AH41" s="20"/>
      <c r="AI41" s="20"/>
      <c r="AJ41" s="20"/>
      <c r="AK41" s="23"/>
      <c r="AL41" s="23"/>
      <c r="AM41" s="111"/>
      <c r="AN41" s="114"/>
      <c r="AO41" s="114"/>
      <c r="AP41" s="114"/>
      <c r="AQ41" s="114"/>
      <c r="AR41" s="114"/>
      <c r="AS41" s="114"/>
      <c r="AT41" s="23"/>
      <c r="AU41" s="23"/>
      <c r="AV41" s="23"/>
      <c r="AW41" s="23"/>
      <c r="AX41" s="23"/>
      <c r="AY41" s="23"/>
      <c r="AZ41" s="23"/>
      <c r="BA41" s="23"/>
    </row>
    <row r="42" spans="1:53" s="105" customFormat="1" ht="14" x14ac:dyDescent="0.15">
      <c r="A42" s="35"/>
      <c r="B42" s="34"/>
      <c r="C42" s="34"/>
      <c r="D42" s="110"/>
      <c r="E42" s="34"/>
      <c r="F42" s="34"/>
      <c r="G42" s="94"/>
      <c r="H42" s="37"/>
      <c r="I42" s="37"/>
      <c r="J42" s="37"/>
      <c r="K42" s="16"/>
      <c r="L42" s="28"/>
      <c r="M42" s="17"/>
      <c r="N42" s="17"/>
      <c r="O42" s="17"/>
      <c r="P42" s="17"/>
      <c r="Q42" s="17"/>
      <c r="R42" s="28"/>
      <c r="S42" s="28"/>
      <c r="T42" s="17"/>
      <c r="U42" s="17"/>
      <c r="V42" s="28"/>
      <c r="W42" s="17"/>
      <c r="X42" s="17"/>
      <c r="Y42" s="36"/>
      <c r="Z42" s="18"/>
      <c r="AA42" s="36"/>
      <c r="AB42" s="19"/>
      <c r="AC42" s="20"/>
      <c r="AD42" s="21"/>
      <c r="AE42" s="20"/>
      <c r="AF42" s="20"/>
      <c r="AG42" s="20"/>
      <c r="AH42" s="20"/>
      <c r="AI42" s="20"/>
      <c r="AJ42" s="20"/>
      <c r="AK42" s="23"/>
      <c r="AL42" s="23"/>
      <c r="AM42" s="111"/>
      <c r="AN42" s="114"/>
      <c r="AO42" s="114"/>
      <c r="AP42" s="114"/>
      <c r="AQ42" s="114"/>
      <c r="AR42" s="114"/>
      <c r="AS42" s="114"/>
      <c r="AT42" s="23"/>
      <c r="AU42" s="23"/>
      <c r="AV42" s="23"/>
      <c r="AW42" s="23"/>
      <c r="AX42" s="23"/>
      <c r="AY42" s="23"/>
      <c r="AZ42" s="23"/>
      <c r="BA42" s="23"/>
    </row>
    <row r="43" spans="1:53" s="105" customFormat="1" ht="14" x14ac:dyDescent="0.15">
      <c r="A43" s="35"/>
      <c r="B43" s="34"/>
      <c r="C43" s="34"/>
      <c r="D43" s="110"/>
      <c r="E43" s="34"/>
      <c r="F43" s="34"/>
      <c r="G43" s="94"/>
      <c r="H43" s="37"/>
      <c r="I43" s="37"/>
      <c r="J43" s="37"/>
      <c r="K43" s="16"/>
      <c r="L43" s="28"/>
      <c r="M43" s="17"/>
      <c r="N43" s="17"/>
      <c r="O43" s="17"/>
      <c r="P43" s="17"/>
      <c r="Q43" s="17"/>
      <c r="R43" s="28"/>
      <c r="S43" s="28"/>
      <c r="T43" s="17"/>
      <c r="U43" s="17"/>
      <c r="V43" s="28"/>
      <c r="W43" s="17"/>
      <c r="X43" s="17"/>
      <c r="Y43" s="36"/>
      <c r="Z43" s="18"/>
      <c r="AA43" s="36"/>
      <c r="AB43" s="19"/>
      <c r="AC43" s="20"/>
      <c r="AD43" s="21"/>
      <c r="AE43" s="20"/>
      <c r="AF43" s="20"/>
      <c r="AG43" s="20"/>
      <c r="AH43" s="20"/>
      <c r="AI43" s="20"/>
      <c r="AJ43" s="20"/>
      <c r="AK43" s="23"/>
      <c r="AL43" s="23"/>
      <c r="AM43" s="111"/>
      <c r="AN43" s="114"/>
      <c r="AO43" s="114"/>
      <c r="AP43" s="114"/>
      <c r="AQ43" s="114"/>
      <c r="AR43" s="114"/>
      <c r="AS43" s="114"/>
      <c r="AT43" s="23"/>
      <c r="AU43" s="23"/>
      <c r="AV43" s="23"/>
      <c r="AW43" s="23"/>
      <c r="AX43" s="23"/>
      <c r="AY43" s="23"/>
      <c r="AZ43" s="23"/>
      <c r="BA43" s="23"/>
    </row>
    <row r="44" spans="1:53" s="105" customFormat="1" ht="14" x14ac:dyDescent="0.15">
      <c r="A44" s="35"/>
      <c r="B44" s="34"/>
      <c r="C44" s="34"/>
      <c r="D44" s="110"/>
      <c r="E44" s="34"/>
      <c r="F44" s="34"/>
      <c r="G44" s="94"/>
      <c r="H44" s="37"/>
      <c r="I44" s="37"/>
      <c r="J44" s="37"/>
      <c r="K44" s="16"/>
      <c r="L44" s="28"/>
      <c r="M44" s="17"/>
      <c r="N44" s="17"/>
      <c r="O44" s="17"/>
      <c r="P44" s="17"/>
      <c r="Q44" s="17"/>
      <c r="R44" s="28"/>
      <c r="S44" s="28"/>
      <c r="T44" s="17"/>
      <c r="U44" s="17"/>
      <c r="V44" s="28"/>
      <c r="W44" s="17"/>
      <c r="X44" s="17"/>
      <c r="Y44" s="36"/>
      <c r="Z44" s="18"/>
      <c r="AA44" s="36"/>
      <c r="AB44" s="19"/>
      <c r="AC44" s="20"/>
      <c r="AD44" s="21"/>
      <c r="AE44" s="20"/>
      <c r="AF44" s="20"/>
      <c r="AG44" s="20"/>
      <c r="AH44" s="20"/>
      <c r="AI44" s="20"/>
      <c r="AJ44" s="20"/>
      <c r="AK44" s="23"/>
      <c r="AL44" s="23"/>
      <c r="AM44" s="111"/>
      <c r="AN44" s="114"/>
      <c r="AO44" s="114"/>
      <c r="AP44" s="114"/>
      <c r="AQ44" s="114"/>
      <c r="AR44" s="114"/>
      <c r="AS44" s="114"/>
      <c r="AT44" s="23"/>
      <c r="AU44" s="23"/>
      <c r="AV44" s="23"/>
      <c r="AW44" s="23"/>
      <c r="AX44" s="23"/>
      <c r="AY44" s="23"/>
      <c r="AZ44" s="23"/>
      <c r="BA44" s="23"/>
    </row>
    <row r="45" spans="1:53" s="105" customFormat="1" ht="14" x14ac:dyDescent="0.15">
      <c r="A45" s="35"/>
      <c r="B45" s="34"/>
      <c r="C45" s="34"/>
      <c r="D45" s="110"/>
      <c r="E45" s="34"/>
      <c r="F45" s="34"/>
      <c r="G45" s="94"/>
      <c r="H45" s="37"/>
      <c r="I45" s="37"/>
      <c r="J45" s="37"/>
      <c r="K45" s="16"/>
      <c r="L45" s="28"/>
      <c r="M45" s="17"/>
      <c r="N45" s="17"/>
      <c r="O45" s="17"/>
      <c r="P45" s="17"/>
      <c r="Q45" s="17"/>
      <c r="R45" s="28"/>
      <c r="S45" s="28"/>
      <c r="T45" s="17"/>
      <c r="U45" s="17"/>
      <c r="V45" s="28"/>
      <c r="W45" s="17"/>
      <c r="X45" s="17"/>
      <c r="Y45" s="36"/>
      <c r="Z45" s="18"/>
      <c r="AA45" s="36"/>
      <c r="AB45" s="19"/>
      <c r="AC45" s="20"/>
      <c r="AD45" s="21"/>
      <c r="AE45" s="20"/>
      <c r="AF45" s="20"/>
      <c r="AG45" s="20"/>
      <c r="AH45" s="20"/>
      <c r="AI45" s="20"/>
      <c r="AJ45" s="20"/>
      <c r="AK45" s="23"/>
      <c r="AL45" s="23"/>
      <c r="AM45" s="111"/>
      <c r="AN45" s="114"/>
      <c r="AO45" s="114"/>
      <c r="AP45" s="114"/>
      <c r="AQ45" s="114"/>
      <c r="AR45" s="114"/>
      <c r="AS45" s="114"/>
      <c r="AT45" s="23"/>
      <c r="AU45" s="23"/>
      <c r="AV45" s="23"/>
      <c r="AW45" s="23"/>
      <c r="AX45" s="23"/>
      <c r="AY45" s="23"/>
      <c r="AZ45" s="23"/>
      <c r="BA45" s="23"/>
    </row>
    <row r="46" spans="1:53" s="105" customFormat="1" ht="14" x14ac:dyDescent="0.15">
      <c r="A46" s="35"/>
      <c r="B46" s="34"/>
      <c r="C46" s="34"/>
      <c r="D46" s="110"/>
      <c r="E46" s="34"/>
      <c r="F46" s="34"/>
      <c r="G46" s="94"/>
      <c r="H46" s="37"/>
      <c r="I46" s="37"/>
      <c r="J46" s="37"/>
      <c r="K46" s="16"/>
      <c r="L46" s="28"/>
      <c r="M46" s="17"/>
      <c r="N46" s="17"/>
      <c r="O46" s="17"/>
      <c r="P46" s="17"/>
      <c r="Q46" s="17"/>
      <c r="R46" s="28"/>
      <c r="S46" s="28"/>
      <c r="T46" s="17"/>
      <c r="U46" s="17"/>
      <c r="V46" s="28"/>
      <c r="W46" s="17"/>
      <c r="X46" s="17"/>
      <c r="Y46" s="36"/>
      <c r="Z46" s="18"/>
      <c r="AA46" s="36"/>
      <c r="AB46" s="19"/>
      <c r="AC46" s="20"/>
      <c r="AD46" s="21"/>
      <c r="AE46" s="20"/>
      <c r="AF46" s="20"/>
      <c r="AG46" s="20"/>
      <c r="AH46" s="20"/>
      <c r="AI46" s="20"/>
      <c r="AJ46" s="20"/>
      <c r="AK46" s="23"/>
      <c r="AL46" s="23"/>
      <c r="AM46" s="111"/>
      <c r="AN46" s="114"/>
      <c r="AO46" s="114"/>
      <c r="AP46" s="114"/>
      <c r="AQ46" s="114"/>
      <c r="AR46" s="114"/>
      <c r="AS46" s="114"/>
      <c r="AT46" s="23"/>
      <c r="AU46" s="23"/>
      <c r="AV46" s="23"/>
      <c r="AW46" s="23"/>
      <c r="AX46" s="23"/>
      <c r="AY46" s="23"/>
      <c r="AZ46" s="23"/>
      <c r="BA46" s="23"/>
    </row>
    <row r="47" spans="1:53" s="105" customFormat="1" ht="14" x14ac:dyDescent="0.15">
      <c r="A47" s="35"/>
      <c r="B47" s="34"/>
      <c r="C47" s="34"/>
      <c r="D47" s="110"/>
      <c r="E47" s="34"/>
      <c r="F47" s="34"/>
      <c r="G47" s="94"/>
      <c r="H47" s="37"/>
      <c r="I47" s="37"/>
      <c r="J47" s="37"/>
      <c r="K47" s="16"/>
      <c r="L47" s="28"/>
      <c r="M47" s="17"/>
      <c r="N47" s="17"/>
      <c r="O47" s="17"/>
      <c r="P47" s="17"/>
      <c r="Q47" s="17"/>
      <c r="R47" s="28"/>
      <c r="S47" s="28"/>
      <c r="T47" s="17"/>
      <c r="U47" s="17"/>
      <c r="V47" s="28"/>
      <c r="W47" s="17"/>
      <c r="X47" s="17"/>
      <c r="Y47" s="36"/>
      <c r="Z47" s="18"/>
      <c r="AA47" s="36"/>
      <c r="AB47" s="19"/>
      <c r="AC47" s="20"/>
      <c r="AD47" s="21"/>
      <c r="AE47" s="20"/>
      <c r="AF47" s="20"/>
      <c r="AG47" s="20"/>
      <c r="AH47" s="20"/>
      <c r="AI47" s="20"/>
      <c r="AJ47" s="20"/>
      <c r="AK47" s="23"/>
      <c r="AL47" s="23"/>
      <c r="AM47" s="111"/>
      <c r="AN47" s="114"/>
      <c r="AO47" s="114"/>
      <c r="AP47" s="114"/>
      <c r="AQ47" s="114"/>
      <c r="AR47" s="114"/>
      <c r="AS47" s="114"/>
      <c r="AT47" s="23"/>
      <c r="AU47" s="23"/>
      <c r="AV47" s="23"/>
      <c r="AW47" s="23"/>
      <c r="AX47" s="23"/>
      <c r="AY47" s="23"/>
      <c r="AZ47" s="23"/>
      <c r="BA47" s="23"/>
    </row>
    <row r="48" spans="1:53" s="105" customFormat="1" ht="14" x14ac:dyDescent="0.15">
      <c r="A48" s="35"/>
      <c r="B48" s="34"/>
      <c r="C48" s="34"/>
      <c r="D48" s="110"/>
      <c r="E48" s="34"/>
      <c r="F48" s="34"/>
      <c r="G48" s="94"/>
      <c r="H48" s="37"/>
      <c r="I48" s="37"/>
      <c r="J48" s="37"/>
      <c r="K48" s="16"/>
      <c r="L48" s="28"/>
      <c r="M48" s="17"/>
      <c r="N48" s="17"/>
      <c r="O48" s="17"/>
      <c r="P48" s="17"/>
      <c r="Q48" s="17"/>
      <c r="R48" s="28"/>
      <c r="S48" s="28"/>
      <c r="T48" s="17"/>
      <c r="U48" s="17"/>
      <c r="V48" s="28"/>
      <c r="W48" s="17"/>
      <c r="X48" s="17"/>
      <c r="Y48" s="36"/>
      <c r="Z48" s="18"/>
      <c r="AA48" s="36"/>
      <c r="AB48" s="19"/>
      <c r="AC48" s="20"/>
      <c r="AD48" s="21"/>
      <c r="AE48" s="20"/>
      <c r="AF48" s="20"/>
      <c r="AG48" s="20"/>
      <c r="AH48" s="20"/>
      <c r="AI48" s="20"/>
      <c r="AJ48" s="20"/>
      <c r="AK48" s="23"/>
      <c r="AL48" s="23"/>
      <c r="AM48" s="111"/>
      <c r="AN48" s="114"/>
      <c r="AO48" s="114"/>
      <c r="AP48" s="114"/>
      <c r="AQ48" s="114"/>
      <c r="AR48" s="114"/>
      <c r="AS48" s="114"/>
      <c r="AT48" s="23"/>
      <c r="AU48" s="23"/>
      <c r="AV48" s="23"/>
      <c r="AW48" s="23"/>
      <c r="AX48" s="23"/>
      <c r="AY48" s="23"/>
      <c r="AZ48" s="23"/>
      <c r="BA48" s="23"/>
    </row>
    <row r="49" spans="1:53" s="105" customFormat="1" ht="14" x14ac:dyDescent="0.15">
      <c r="A49" s="35"/>
      <c r="B49" s="34"/>
      <c r="C49" s="34"/>
      <c r="D49" s="110"/>
      <c r="E49" s="34"/>
      <c r="F49" s="34"/>
      <c r="G49" s="94"/>
      <c r="H49" s="37"/>
      <c r="I49" s="37"/>
      <c r="J49" s="37"/>
      <c r="K49" s="16"/>
      <c r="L49" s="28"/>
      <c r="M49" s="17"/>
      <c r="N49" s="17"/>
      <c r="O49" s="17"/>
      <c r="P49" s="17"/>
      <c r="Q49" s="17"/>
      <c r="R49" s="28"/>
      <c r="S49" s="28"/>
      <c r="T49" s="17"/>
      <c r="U49" s="17"/>
      <c r="V49" s="28"/>
      <c r="W49" s="17"/>
      <c r="X49" s="17"/>
      <c r="Y49" s="36"/>
      <c r="Z49" s="18"/>
      <c r="AA49" s="36"/>
      <c r="AB49" s="19"/>
      <c r="AC49" s="20"/>
      <c r="AD49" s="21"/>
      <c r="AE49" s="20"/>
      <c r="AF49" s="20"/>
      <c r="AG49" s="20"/>
      <c r="AH49" s="20"/>
      <c r="AI49" s="20"/>
      <c r="AJ49" s="20"/>
      <c r="AK49" s="23"/>
      <c r="AL49" s="23"/>
      <c r="AM49" s="111"/>
      <c r="AN49" s="114"/>
      <c r="AO49" s="114"/>
      <c r="AP49" s="114"/>
      <c r="AQ49" s="114"/>
      <c r="AR49" s="114"/>
      <c r="AS49" s="114"/>
      <c r="AT49" s="23"/>
      <c r="AU49" s="23"/>
      <c r="AV49" s="23"/>
      <c r="AW49" s="23"/>
      <c r="AX49" s="23"/>
      <c r="AY49" s="23"/>
      <c r="AZ49" s="23"/>
      <c r="BA49" s="23"/>
    </row>
    <row r="50" spans="1:53" s="105" customFormat="1" ht="14" x14ac:dyDescent="0.15">
      <c r="A50" s="35"/>
      <c r="B50" s="34"/>
      <c r="C50" s="34"/>
      <c r="D50" s="110"/>
      <c r="E50" s="34"/>
      <c r="F50" s="34"/>
      <c r="G50" s="94"/>
      <c r="H50" s="37"/>
      <c r="I50" s="37"/>
      <c r="J50" s="37"/>
      <c r="K50" s="16"/>
      <c r="L50" s="28"/>
      <c r="M50" s="17"/>
      <c r="N50" s="17"/>
      <c r="O50" s="17"/>
      <c r="P50" s="17"/>
      <c r="Q50" s="17"/>
      <c r="R50" s="28"/>
      <c r="S50" s="28"/>
      <c r="T50" s="17"/>
      <c r="U50" s="17"/>
      <c r="V50" s="28"/>
      <c r="W50" s="17"/>
      <c r="X50" s="17"/>
      <c r="Y50" s="36"/>
      <c r="Z50" s="18"/>
      <c r="AA50" s="36"/>
      <c r="AB50" s="19"/>
      <c r="AC50" s="20"/>
      <c r="AD50" s="21"/>
      <c r="AE50" s="20"/>
      <c r="AF50" s="20"/>
      <c r="AG50" s="20"/>
      <c r="AH50" s="20"/>
      <c r="AI50" s="20"/>
      <c r="AJ50" s="20"/>
      <c r="AK50" s="23"/>
      <c r="AL50" s="23"/>
      <c r="AM50" s="111"/>
      <c r="AN50" s="114"/>
      <c r="AO50" s="114"/>
      <c r="AP50" s="114"/>
      <c r="AQ50" s="114"/>
      <c r="AR50" s="114"/>
      <c r="AS50" s="114"/>
      <c r="AT50" s="23"/>
      <c r="AU50" s="23"/>
      <c r="AV50" s="23"/>
      <c r="AW50" s="23"/>
      <c r="AX50" s="23"/>
      <c r="AY50" s="23"/>
      <c r="AZ50" s="23"/>
      <c r="BA50" s="23"/>
    </row>
    <row r="51" spans="1:53" s="105" customFormat="1" ht="14" x14ac:dyDescent="0.15">
      <c r="A51" s="35"/>
      <c r="B51" s="34"/>
      <c r="C51" s="34"/>
      <c r="D51" s="110"/>
      <c r="E51" s="34"/>
      <c r="F51" s="34"/>
      <c r="G51" s="94"/>
      <c r="H51" s="37"/>
      <c r="I51" s="37"/>
      <c r="J51" s="37"/>
      <c r="K51" s="16"/>
      <c r="L51" s="28"/>
      <c r="M51" s="17"/>
      <c r="N51" s="17"/>
      <c r="O51" s="17"/>
      <c r="P51" s="17"/>
      <c r="Q51" s="17"/>
      <c r="R51" s="28"/>
      <c r="S51" s="28"/>
      <c r="T51" s="17"/>
      <c r="U51" s="17"/>
      <c r="V51" s="28"/>
      <c r="W51" s="17"/>
      <c r="X51" s="17"/>
      <c r="Y51" s="36"/>
      <c r="Z51" s="18"/>
      <c r="AA51" s="36"/>
      <c r="AB51" s="19"/>
      <c r="AC51" s="20"/>
      <c r="AD51" s="21"/>
      <c r="AE51" s="20"/>
      <c r="AF51" s="20"/>
      <c r="AG51" s="20"/>
      <c r="AH51" s="20"/>
      <c r="AI51" s="20"/>
      <c r="AJ51" s="20"/>
      <c r="AK51" s="23"/>
      <c r="AL51" s="23"/>
      <c r="AM51" s="111"/>
      <c r="AN51" s="114"/>
      <c r="AO51" s="114"/>
      <c r="AP51" s="114"/>
      <c r="AQ51" s="114"/>
      <c r="AR51" s="114"/>
      <c r="AS51" s="114"/>
      <c r="AT51" s="23"/>
      <c r="AU51" s="23"/>
      <c r="AV51" s="23"/>
      <c r="AW51" s="23"/>
      <c r="AX51" s="23"/>
      <c r="AY51" s="23"/>
      <c r="AZ51" s="23"/>
      <c r="BA51" s="23"/>
    </row>
    <row r="52" spans="1:53" s="105" customFormat="1" ht="14" x14ac:dyDescent="0.15">
      <c r="A52" s="35"/>
      <c r="B52" s="34"/>
      <c r="C52" s="34"/>
      <c r="D52" s="110"/>
      <c r="E52" s="34"/>
      <c r="F52" s="34"/>
      <c r="G52" s="94"/>
      <c r="H52" s="37"/>
      <c r="I52" s="37"/>
      <c r="J52" s="37"/>
      <c r="K52" s="16"/>
      <c r="L52" s="28"/>
      <c r="M52" s="17"/>
      <c r="N52" s="17"/>
      <c r="O52" s="17"/>
      <c r="P52" s="17"/>
      <c r="Q52" s="17"/>
      <c r="R52" s="28"/>
      <c r="S52" s="28"/>
      <c r="T52" s="17"/>
      <c r="U52" s="17"/>
      <c r="V52" s="28"/>
      <c r="W52" s="17"/>
      <c r="X52" s="17"/>
      <c r="Y52" s="36"/>
      <c r="Z52" s="18"/>
      <c r="AA52" s="36"/>
      <c r="AB52" s="19"/>
      <c r="AC52" s="20"/>
      <c r="AD52" s="21"/>
      <c r="AE52" s="20"/>
      <c r="AF52" s="20"/>
      <c r="AG52" s="20"/>
      <c r="AH52" s="20"/>
      <c r="AI52" s="20"/>
      <c r="AJ52" s="20"/>
      <c r="AK52" s="23"/>
      <c r="AL52" s="23"/>
      <c r="AM52" s="111"/>
      <c r="AN52" s="114"/>
      <c r="AO52" s="114"/>
      <c r="AP52" s="114"/>
      <c r="AQ52" s="114"/>
      <c r="AR52" s="114"/>
      <c r="AS52" s="114"/>
      <c r="AT52" s="23"/>
      <c r="AU52" s="23"/>
      <c r="AV52" s="23"/>
      <c r="AW52" s="23"/>
      <c r="AX52" s="23"/>
      <c r="AY52" s="23"/>
      <c r="AZ52" s="23"/>
      <c r="BA52" s="23"/>
    </row>
    <row r="53" spans="1:53" s="105" customFormat="1" ht="14" x14ac:dyDescent="0.15">
      <c r="A53" s="35"/>
      <c r="B53" s="34"/>
      <c r="C53" s="34"/>
      <c r="D53" s="110"/>
      <c r="E53" s="34"/>
      <c r="F53" s="34"/>
      <c r="G53" s="94"/>
      <c r="H53" s="37"/>
      <c r="I53" s="37"/>
      <c r="J53" s="37"/>
      <c r="K53" s="16"/>
      <c r="L53" s="28"/>
      <c r="M53" s="17"/>
      <c r="N53" s="17"/>
      <c r="O53" s="17"/>
      <c r="P53" s="17"/>
      <c r="Q53" s="17"/>
      <c r="R53" s="28"/>
      <c r="S53" s="28"/>
      <c r="T53" s="17"/>
      <c r="U53" s="17"/>
      <c r="V53" s="28"/>
      <c r="W53" s="17"/>
      <c r="X53" s="17"/>
      <c r="Y53" s="36"/>
      <c r="Z53" s="18"/>
      <c r="AA53" s="36"/>
      <c r="AB53" s="19"/>
      <c r="AC53" s="20"/>
      <c r="AD53" s="21"/>
      <c r="AE53" s="20"/>
      <c r="AF53" s="20"/>
      <c r="AG53" s="20"/>
      <c r="AH53" s="20"/>
      <c r="AI53" s="20"/>
      <c r="AJ53" s="20"/>
      <c r="AK53" s="23"/>
      <c r="AL53" s="23"/>
      <c r="AM53" s="111"/>
      <c r="AN53" s="114"/>
      <c r="AO53" s="114"/>
      <c r="AP53" s="114"/>
      <c r="AQ53" s="114"/>
      <c r="AR53" s="114"/>
      <c r="AS53" s="114"/>
      <c r="AT53" s="23"/>
      <c r="AU53" s="23"/>
      <c r="AV53" s="23"/>
      <c r="AW53" s="23"/>
      <c r="AX53" s="23"/>
      <c r="AY53" s="23"/>
      <c r="AZ53" s="23"/>
      <c r="BA53" s="23"/>
    </row>
    <row r="54" spans="1:53" s="105" customFormat="1" ht="14" x14ac:dyDescent="0.15">
      <c r="A54" s="35"/>
      <c r="B54" s="34"/>
      <c r="C54" s="34"/>
      <c r="D54" s="110"/>
      <c r="E54" s="34"/>
      <c r="F54" s="34"/>
      <c r="G54" s="94"/>
      <c r="H54" s="37"/>
      <c r="I54" s="37"/>
      <c r="J54" s="37"/>
      <c r="K54" s="16"/>
      <c r="L54" s="28"/>
      <c r="M54" s="17"/>
      <c r="N54" s="17"/>
      <c r="O54" s="17"/>
      <c r="P54" s="17"/>
      <c r="Q54" s="17"/>
      <c r="R54" s="28"/>
      <c r="S54" s="28"/>
      <c r="T54" s="17"/>
      <c r="U54" s="17"/>
      <c r="V54" s="28"/>
      <c r="W54" s="17"/>
      <c r="X54" s="17"/>
      <c r="Y54" s="36"/>
      <c r="Z54" s="18"/>
      <c r="AA54" s="36"/>
      <c r="AB54" s="19"/>
      <c r="AC54" s="20"/>
      <c r="AD54" s="21"/>
      <c r="AE54" s="20"/>
      <c r="AF54" s="20"/>
      <c r="AG54" s="20"/>
      <c r="AH54" s="20"/>
      <c r="AI54" s="20"/>
      <c r="AJ54" s="20"/>
      <c r="AK54" s="23"/>
      <c r="AL54" s="23"/>
      <c r="AM54" s="111"/>
      <c r="AN54" s="114"/>
      <c r="AO54" s="114"/>
      <c r="AP54" s="114"/>
      <c r="AQ54" s="114"/>
      <c r="AR54" s="114"/>
      <c r="AS54" s="114"/>
      <c r="AT54" s="23"/>
      <c r="AU54" s="23"/>
      <c r="AV54" s="23"/>
      <c r="AW54" s="23"/>
      <c r="AX54" s="23"/>
      <c r="AY54" s="23"/>
      <c r="AZ54" s="23"/>
      <c r="BA54" s="23"/>
    </row>
    <row r="55" spans="1:53" s="105" customFormat="1" ht="14" x14ac:dyDescent="0.15">
      <c r="A55" s="35"/>
      <c r="B55" s="34"/>
      <c r="C55" s="34"/>
      <c r="D55" s="110"/>
      <c r="E55" s="34"/>
      <c r="F55" s="34"/>
      <c r="G55" s="94"/>
      <c r="H55" s="37"/>
      <c r="I55" s="37"/>
      <c r="J55" s="37"/>
      <c r="K55" s="16"/>
      <c r="L55" s="28"/>
      <c r="M55" s="17"/>
      <c r="N55" s="17"/>
      <c r="O55" s="17"/>
      <c r="P55" s="17"/>
      <c r="Q55" s="17"/>
      <c r="R55" s="28"/>
      <c r="S55" s="28"/>
      <c r="T55" s="17"/>
      <c r="U55" s="17"/>
      <c r="V55" s="28"/>
      <c r="W55" s="17"/>
      <c r="X55" s="17"/>
      <c r="Y55" s="36"/>
      <c r="Z55" s="18"/>
      <c r="AA55" s="36"/>
      <c r="AB55" s="19"/>
      <c r="AC55" s="20"/>
      <c r="AD55" s="21"/>
      <c r="AE55" s="20"/>
      <c r="AF55" s="20"/>
      <c r="AG55" s="20"/>
      <c r="AH55" s="20"/>
      <c r="AI55" s="20"/>
      <c r="AJ55" s="20"/>
      <c r="AK55" s="23"/>
      <c r="AL55" s="23"/>
      <c r="AM55" s="111"/>
      <c r="AN55" s="114"/>
      <c r="AO55" s="114"/>
      <c r="AP55" s="114"/>
      <c r="AQ55" s="114"/>
      <c r="AR55" s="114"/>
      <c r="AS55" s="114"/>
      <c r="AT55" s="23"/>
      <c r="AU55" s="23"/>
      <c r="AV55" s="23"/>
      <c r="AW55" s="23"/>
      <c r="AX55" s="23"/>
      <c r="AY55" s="23"/>
      <c r="AZ55" s="23"/>
      <c r="BA55" s="23"/>
    </row>
    <row r="56" spans="1:53" s="105" customFormat="1" ht="14" x14ac:dyDescent="0.15">
      <c r="A56" s="35"/>
      <c r="B56" s="34"/>
      <c r="C56" s="34"/>
      <c r="D56" s="110"/>
      <c r="E56" s="34"/>
      <c r="F56" s="34"/>
      <c r="G56" s="94"/>
      <c r="H56" s="37"/>
      <c r="I56" s="37"/>
      <c r="J56" s="37"/>
      <c r="K56" s="16"/>
      <c r="L56" s="28"/>
      <c r="M56" s="17"/>
      <c r="N56" s="17"/>
      <c r="O56" s="17"/>
      <c r="P56" s="17"/>
      <c r="Q56" s="17"/>
      <c r="R56" s="28"/>
      <c r="S56" s="28"/>
      <c r="T56" s="17"/>
      <c r="U56" s="17"/>
      <c r="V56" s="28"/>
      <c r="W56" s="17"/>
      <c r="X56" s="17"/>
      <c r="Y56" s="36"/>
      <c r="Z56" s="18"/>
      <c r="AA56" s="36"/>
      <c r="AB56" s="19"/>
      <c r="AC56" s="20"/>
      <c r="AD56" s="21"/>
      <c r="AE56" s="20"/>
      <c r="AF56" s="20"/>
      <c r="AG56" s="20"/>
      <c r="AH56" s="20"/>
      <c r="AI56" s="20"/>
      <c r="AJ56" s="20"/>
      <c r="AK56" s="23"/>
      <c r="AL56" s="23"/>
      <c r="AM56" s="111"/>
      <c r="AN56" s="114"/>
      <c r="AO56" s="114"/>
      <c r="AP56" s="114"/>
      <c r="AQ56" s="114"/>
      <c r="AR56" s="114"/>
      <c r="AS56" s="114"/>
      <c r="AT56" s="23"/>
      <c r="AU56" s="23"/>
      <c r="AV56" s="23"/>
      <c r="AW56" s="23"/>
      <c r="AX56" s="23"/>
      <c r="AY56" s="23"/>
      <c r="AZ56" s="23"/>
      <c r="BA56" s="23"/>
    </row>
    <row r="57" spans="1:53" s="105" customFormat="1" ht="14" x14ac:dyDescent="0.15">
      <c r="A57" s="35"/>
      <c r="B57" s="34"/>
      <c r="C57" s="34"/>
      <c r="D57" s="110"/>
      <c r="E57" s="34"/>
      <c r="F57" s="34"/>
      <c r="G57" s="94"/>
      <c r="H57" s="37"/>
      <c r="I57" s="37"/>
      <c r="J57" s="37"/>
      <c r="K57" s="16"/>
      <c r="L57" s="28"/>
      <c r="M57" s="17"/>
      <c r="N57" s="17"/>
      <c r="O57" s="17"/>
      <c r="P57" s="17"/>
      <c r="Q57" s="17"/>
      <c r="R57" s="28"/>
      <c r="S57" s="28"/>
      <c r="T57" s="17"/>
      <c r="U57" s="17"/>
      <c r="V57" s="28"/>
      <c r="W57" s="17"/>
      <c r="X57" s="17"/>
      <c r="Y57" s="36"/>
      <c r="Z57" s="18"/>
      <c r="AA57" s="36"/>
      <c r="AB57" s="19"/>
      <c r="AC57" s="20"/>
      <c r="AD57" s="21"/>
      <c r="AE57" s="20"/>
      <c r="AF57" s="20"/>
      <c r="AG57" s="20"/>
      <c r="AH57" s="20"/>
      <c r="AI57" s="20"/>
      <c r="AJ57" s="20"/>
      <c r="AK57" s="23"/>
      <c r="AL57" s="23"/>
      <c r="AM57" s="111"/>
      <c r="AN57" s="114"/>
      <c r="AO57" s="114"/>
      <c r="AP57" s="114"/>
      <c r="AQ57" s="114"/>
      <c r="AR57" s="114"/>
      <c r="AS57" s="114"/>
      <c r="AT57" s="23"/>
      <c r="AU57" s="23"/>
      <c r="AV57" s="23"/>
      <c r="AW57" s="23"/>
      <c r="AX57" s="23"/>
      <c r="AY57" s="23"/>
      <c r="AZ57" s="23"/>
      <c r="BA57" s="23"/>
    </row>
    <row r="58" spans="1:53" s="105" customFormat="1" ht="14" x14ac:dyDescent="0.15">
      <c r="A58" s="35"/>
      <c r="B58" s="34"/>
      <c r="C58" s="34"/>
      <c r="D58" s="110"/>
      <c r="E58" s="34"/>
      <c r="F58" s="34"/>
      <c r="G58" s="94"/>
      <c r="H58" s="37"/>
      <c r="I58" s="37"/>
      <c r="J58" s="37"/>
      <c r="K58" s="16"/>
      <c r="L58" s="28"/>
      <c r="M58" s="17"/>
      <c r="N58" s="17"/>
      <c r="O58" s="17"/>
      <c r="P58" s="17"/>
      <c r="Q58" s="17"/>
      <c r="R58" s="28"/>
      <c r="S58" s="28"/>
      <c r="T58" s="17"/>
      <c r="U58" s="17"/>
      <c r="V58" s="28"/>
      <c r="W58" s="17"/>
      <c r="X58" s="17"/>
      <c r="Y58" s="36"/>
      <c r="Z58" s="18"/>
      <c r="AA58" s="36"/>
      <c r="AB58" s="19"/>
      <c r="AC58" s="20"/>
      <c r="AD58" s="21"/>
      <c r="AE58" s="20"/>
      <c r="AF58" s="20"/>
      <c r="AG58" s="20"/>
      <c r="AH58" s="20"/>
      <c r="AI58" s="20"/>
      <c r="AJ58" s="20"/>
      <c r="AK58" s="23"/>
      <c r="AL58" s="23"/>
      <c r="AM58" s="111"/>
      <c r="AN58" s="114"/>
      <c r="AO58" s="114"/>
      <c r="AP58" s="114"/>
      <c r="AQ58" s="114"/>
      <c r="AR58" s="114"/>
      <c r="AS58" s="114"/>
      <c r="AT58" s="23"/>
      <c r="AU58" s="23"/>
      <c r="AV58" s="23"/>
      <c r="AW58" s="23"/>
      <c r="AX58" s="23"/>
      <c r="AY58" s="23"/>
      <c r="AZ58" s="23"/>
      <c r="BA58" s="23"/>
    </row>
    <row r="59" spans="1:53" s="105" customFormat="1" ht="14" x14ac:dyDescent="0.15">
      <c r="A59" s="35"/>
      <c r="B59" s="34"/>
      <c r="C59" s="34"/>
      <c r="D59" s="110"/>
      <c r="E59" s="34"/>
      <c r="F59" s="34"/>
      <c r="G59" s="94"/>
      <c r="H59" s="37"/>
      <c r="I59" s="37"/>
      <c r="J59" s="37"/>
      <c r="K59" s="16"/>
      <c r="L59" s="28"/>
      <c r="M59" s="17"/>
      <c r="N59" s="17"/>
      <c r="O59" s="17"/>
      <c r="P59" s="17"/>
      <c r="Q59" s="17"/>
      <c r="R59" s="28"/>
      <c r="S59" s="28"/>
      <c r="T59" s="17"/>
      <c r="U59" s="17"/>
      <c r="V59" s="28"/>
      <c r="W59" s="17"/>
      <c r="X59" s="17"/>
      <c r="Y59" s="36"/>
      <c r="Z59" s="18"/>
      <c r="AA59" s="36"/>
      <c r="AB59" s="19"/>
      <c r="AC59" s="20"/>
      <c r="AD59" s="21"/>
      <c r="AE59" s="20"/>
      <c r="AF59" s="20"/>
      <c r="AG59" s="20"/>
      <c r="AH59" s="20"/>
      <c r="AI59" s="20"/>
      <c r="AJ59" s="20"/>
      <c r="AK59" s="23"/>
      <c r="AL59" s="23"/>
      <c r="AM59" s="111"/>
      <c r="AN59" s="114"/>
      <c r="AO59" s="114"/>
      <c r="AP59" s="114"/>
      <c r="AQ59" s="114"/>
      <c r="AR59" s="114"/>
      <c r="AS59" s="114"/>
      <c r="AT59" s="23"/>
      <c r="AU59" s="23"/>
      <c r="AV59" s="23"/>
      <c r="AW59" s="23"/>
      <c r="AX59" s="23"/>
      <c r="AY59" s="23"/>
      <c r="AZ59" s="23"/>
      <c r="BA59" s="23"/>
    </row>
    <row r="60" spans="1:53" s="105" customFormat="1" ht="14" x14ac:dyDescent="0.15">
      <c r="A60" s="35"/>
      <c r="B60" s="34"/>
      <c r="C60" s="34"/>
      <c r="D60" s="110"/>
      <c r="E60" s="34"/>
      <c r="F60" s="34"/>
      <c r="G60" s="94"/>
      <c r="H60" s="37"/>
      <c r="I60" s="37"/>
      <c r="J60" s="37"/>
      <c r="K60" s="16"/>
      <c r="L60" s="28"/>
      <c r="M60" s="17"/>
      <c r="N60" s="17"/>
      <c r="O60" s="17"/>
      <c r="P60" s="17"/>
      <c r="Q60" s="17"/>
      <c r="R60" s="28"/>
      <c r="S60" s="28"/>
      <c r="T60" s="17"/>
      <c r="U60" s="17"/>
      <c r="V60" s="28"/>
      <c r="W60" s="17"/>
      <c r="X60" s="17"/>
      <c r="Y60" s="36"/>
      <c r="Z60" s="18"/>
      <c r="AA60" s="36"/>
      <c r="AB60" s="19"/>
      <c r="AC60" s="20"/>
      <c r="AD60" s="21"/>
      <c r="AE60" s="20"/>
      <c r="AF60" s="20"/>
      <c r="AG60" s="20"/>
      <c r="AH60" s="20"/>
      <c r="AI60" s="20"/>
      <c r="AJ60" s="20"/>
      <c r="AK60" s="23"/>
      <c r="AL60" s="23"/>
      <c r="AM60" s="111"/>
      <c r="AN60" s="114"/>
      <c r="AO60" s="114"/>
      <c r="AP60" s="114"/>
      <c r="AQ60" s="114"/>
      <c r="AR60" s="114"/>
      <c r="AS60" s="114"/>
      <c r="AT60" s="23"/>
      <c r="AU60" s="23"/>
      <c r="AV60" s="23"/>
      <c r="AW60" s="23"/>
      <c r="AX60" s="23"/>
      <c r="AY60" s="23"/>
      <c r="AZ60" s="23"/>
      <c r="BA60" s="23"/>
    </row>
    <row r="61" spans="1:53" s="105" customFormat="1" ht="14" x14ac:dyDescent="0.15">
      <c r="A61" s="35"/>
      <c r="B61" s="34"/>
      <c r="C61" s="34"/>
      <c r="D61" s="110"/>
      <c r="E61" s="34"/>
      <c r="F61" s="34"/>
      <c r="G61" s="94"/>
      <c r="H61" s="37"/>
      <c r="I61" s="37"/>
      <c r="J61" s="37"/>
      <c r="K61" s="16"/>
      <c r="L61" s="28"/>
      <c r="M61" s="17"/>
      <c r="N61" s="17"/>
      <c r="O61" s="17"/>
      <c r="P61" s="17"/>
      <c r="Q61" s="17"/>
      <c r="R61" s="28"/>
      <c r="S61" s="28"/>
      <c r="T61" s="17"/>
      <c r="U61" s="17"/>
      <c r="V61" s="28"/>
      <c r="W61" s="17"/>
      <c r="X61" s="17"/>
      <c r="Y61" s="36"/>
      <c r="Z61" s="18"/>
      <c r="AA61" s="36"/>
      <c r="AB61" s="19"/>
      <c r="AC61" s="20"/>
      <c r="AD61" s="21"/>
      <c r="AE61" s="20"/>
      <c r="AF61" s="20"/>
      <c r="AG61" s="20"/>
      <c r="AH61" s="20"/>
      <c r="AI61" s="20"/>
      <c r="AJ61" s="20"/>
      <c r="AK61" s="23"/>
      <c r="AL61" s="23"/>
      <c r="AM61" s="111"/>
      <c r="AN61" s="114"/>
      <c r="AO61" s="114"/>
      <c r="AP61" s="114"/>
      <c r="AQ61" s="114"/>
      <c r="AR61" s="114"/>
      <c r="AS61" s="114"/>
      <c r="AT61" s="23"/>
      <c r="AU61" s="23"/>
      <c r="AV61" s="23"/>
      <c r="AW61" s="23"/>
      <c r="AX61" s="23"/>
      <c r="AY61" s="23"/>
      <c r="AZ61" s="23"/>
      <c r="BA61" s="23"/>
    </row>
    <row r="62" spans="1:53" s="105" customFormat="1" ht="14" x14ac:dyDescent="0.15">
      <c r="A62" s="35"/>
      <c r="B62" s="34"/>
      <c r="C62" s="34"/>
      <c r="D62" s="110"/>
      <c r="E62" s="34"/>
      <c r="F62" s="34"/>
      <c r="G62" s="94"/>
      <c r="H62" s="37"/>
      <c r="I62" s="37"/>
      <c r="J62" s="37"/>
      <c r="K62" s="16"/>
      <c r="L62" s="28"/>
      <c r="M62" s="17"/>
      <c r="N62" s="17"/>
      <c r="O62" s="17"/>
      <c r="P62" s="17"/>
      <c r="Q62" s="17"/>
      <c r="R62" s="28"/>
      <c r="S62" s="28"/>
      <c r="T62" s="17"/>
      <c r="U62" s="17"/>
      <c r="V62" s="28"/>
      <c r="W62" s="17"/>
      <c r="X62" s="17"/>
      <c r="Y62" s="36"/>
      <c r="Z62" s="18"/>
      <c r="AA62" s="36"/>
      <c r="AB62" s="19"/>
      <c r="AC62" s="20"/>
      <c r="AD62" s="21"/>
      <c r="AE62" s="20"/>
      <c r="AF62" s="20"/>
      <c r="AG62" s="20"/>
      <c r="AH62" s="20"/>
      <c r="AI62" s="20"/>
      <c r="AJ62" s="20"/>
      <c r="AK62" s="23"/>
      <c r="AL62" s="23"/>
      <c r="AM62" s="111"/>
      <c r="AN62" s="114"/>
      <c r="AO62" s="114"/>
      <c r="AP62" s="114"/>
      <c r="AQ62" s="114"/>
      <c r="AR62" s="114"/>
      <c r="AS62" s="114"/>
      <c r="AT62" s="23"/>
      <c r="AU62" s="23"/>
      <c r="AV62" s="23"/>
      <c r="AW62" s="23"/>
      <c r="AX62" s="23"/>
      <c r="AY62" s="23"/>
      <c r="AZ62" s="23"/>
      <c r="BA62" s="23"/>
    </row>
    <row r="63" spans="1:53" s="105" customFormat="1" ht="14" x14ac:dyDescent="0.15">
      <c r="A63" s="35"/>
      <c r="B63" s="34"/>
      <c r="C63" s="34"/>
      <c r="D63" s="110"/>
      <c r="E63" s="34"/>
      <c r="F63" s="34"/>
      <c r="G63" s="94"/>
      <c r="H63" s="37"/>
      <c r="I63" s="37"/>
      <c r="J63" s="37"/>
      <c r="K63" s="16"/>
      <c r="L63" s="28"/>
      <c r="M63" s="17"/>
      <c r="N63" s="17"/>
      <c r="O63" s="17"/>
      <c r="P63" s="17"/>
      <c r="Q63" s="17"/>
      <c r="R63" s="28"/>
      <c r="S63" s="28"/>
      <c r="T63" s="17"/>
      <c r="U63" s="17"/>
      <c r="V63" s="28"/>
      <c r="W63" s="17"/>
      <c r="X63" s="17"/>
      <c r="Y63" s="36"/>
      <c r="Z63" s="18"/>
      <c r="AA63" s="36"/>
      <c r="AB63" s="19"/>
      <c r="AC63" s="20"/>
      <c r="AD63" s="21"/>
      <c r="AE63" s="20"/>
      <c r="AF63" s="20"/>
      <c r="AG63" s="20"/>
      <c r="AH63" s="20"/>
      <c r="AI63" s="20"/>
      <c r="AJ63" s="20"/>
      <c r="AK63" s="23"/>
      <c r="AL63" s="23"/>
      <c r="AM63" s="111"/>
      <c r="AN63" s="114"/>
      <c r="AO63" s="114"/>
      <c r="AP63" s="114"/>
      <c r="AQ63" s="114"/>
      <c r="AR63" s="114"/>
      <c r="AS63" s="114"/>
      <c r="AT63" s="23"/>
      <c r="AU63" s="23"/>
      <c r="AV63" s="23"/>
      <c r="AW63" s="23"/>
      <c r="AX63" s="23"/>
      <c r="AY63" s="23"/>
      <c r="AZ63" s="23"/>
      <c r="BA63" s="23"/>
    </row>
    <row r="64" spans="1:53" s="105" customFormat="1" ht="14" x14ac:dyDescent="0.15">
      <c r="A64" s="35"/>
      <c r="B64" s="34"/>
      <c r="C64" s="34"/>
      <c r="D64" s="110"/>
      <c r="E64" s="34"/>
      <c r="F64" s="34"/>
      <c r="G64" s="94"/>
      <c r="H64" s="37"/>
      <c r="I64" s="37"/>
      <c r="J64" s="37"/>
      <c r="K64" s="16"/>
      <c r="L64" s="28"/>
      <c r="M64" s="17"/>
      <c r="N64" s="17"/>
      <c r="O64" s="17"/>
      <c r="P64" s="17"/>
      <c r="Q64" s="17"/>
      <c r="R64" s="28"/>
      <c r="S64" s="28"/>
      <c r="T64" s="17"/>
      <c r="U64" s="17"/>
      <c r="V64" s="28"/>
      <c r="W64" s="17"/>
      <c r="X64" s="17"/>
      <c r="Y64" s="36"/>
      <c r="Z64" s="18"/>
      <c r="AA64" s="36"/>
      <c r="AB64" s="19"/>
      <c r="AC64" s="20"/>
      <c r="AD64" s="21"/>
      <c r="AE64" s="20"/>
      <c r="AF64" s="20"/>
      <c r="AG64" s="20"/>
      <c r="AH64" s="20"/>
      <c r="AI64" s="20"/>
      <c r="AJ64" s="20"/>
      <c r="AK64" s="23"/>
      <c r="AL64" s="23"/>
      <c r="AM64" s="111"/>
      <c r="AN64" s="114"/>
      <c r="AO64" s="114"/>
      <c r="AP64" s="114"/>
      <c r="AQ64" s="114"/>
      <c r="AR64" s="114"/>
      <c r="AS64" s="114"/>
      <c r="AT64" s="23"/>
      <c r="AU64" s="23"/>
      <c r="AV64" s="23"/>
      <c r="AW64" s="23"/>
      <c r="AX64" s="23"/>
      <c r="AY64" s="23"/>
      <c r="AZ64" s="23"/>
      <c r="BA64" s="23"/>
    </row>
    <row r="65" spans="1:53" s="105" customFormat="1" ht="14" x14ac:dyDescent="0.15">
      <c r="A65" s="35"/>
      <c r="B65" s="34"/>
      <c r="C65" s="34"/>
      <c r="D65" s="110"/>
      <c r="E65" s="34"/>
      <c r="F65" s="34"/>
      <c r="G65" s="94"/>
      <c r="H65" s="37"/>
      <c r="I65" s="37"/>
      <c r="J65" s="37"/>
      <c r="K65" s="16"/>
      <c r="L65" s="28"/>
      <c r="M65" s="17"/>
      <c r="N65" s="17"/>
      <c r="O65" s="17"/>
      <c r="P65" s="17"/>
      <c r="Q65" s="17"/>
      <c r="R65" s="28"/>
      <c r="S65" s="28"/>
      <c r="T65" s="17"/>
      <c r="U65" s="17"/>
      <c r="V65" s="28"/>
      <c r="W65" s="17"/>
      <c r="X65" s="17"/>
      <c r="Y65" s="36"/>
      <c r="Z65" s="18"/>
      <c r="AA65" s="36"/>
      <c r="AB65" s="19"/>
      <c r="AC65" s="20"/>
      <c r="AD65" s="21"/>
      <c r="AE65" s="20"/>
      <c r="AF65" s="20"/>
      <c r="AG65" s="20"/>
      <c r="AH65" s="20"/>
      <c r="AI65" s="20"/>
      <c r="AJ65" s="20"/>
      <c r="AK65" s="23"/>
      <c r="AL65" s="23"/>
      <c r="AM65" s="111"/>
      <c r="AN65" s="114"/>
      <c r="AO65" s="114"/>
      <c r="AP65" s="114"/>
      <c r="AQ65" s="114"/>
      <c r="AR65" s="114"/>
      <c r="AS65" s="114"/>
      <c r="AT65" s="23"/>
      <c r="AU65" s="23"/>
      <c r="AV65" s="23"/>
      <c r="AW65" s="23"/>
      <c r="AX65" s="23"/>
      <c r="AY65" s="23"/>
      <c r="AZ65" s="23"/>
      <c r="BA65" s="23"/>
    </row>
    <row r="66" spans="1:53" s="105" customFormat="1" ht="14" x14ac:dyDescent="0.15">
      <c r="A66" s="35"/>
      <c r="B66" s="34"/>
      <c r="C66" s="34"/>
      <c r="D66" s="110"/>
      <c r="E66" s="34"/>
      <c r="F66" s="34"/>
      <c r="G66" s="94"/>
      <c r="H66" s="37"/>
      <c r="I66" s="37"/>
      <c r="J66" s="37"/>
      <c r="K66" s="16"/>
      <c r="L66" s="28"/>
      <c r="M66" s="17"/>
      <c r="N66" s="17"/>
      <c r="O66" s="17"/>
      <c r="P66" s="17"/>
      <c r="Q66" s="17"/>
      <c r="R66" s="28"/>
      <c r="S66" s="28"/>
      <c r="T66" s="17"/>
      <c r="U66" s="17"/>
      <c r="V66" s="28"/>
      <c r="W66" s="17"/>
      <c r="X66" s="17"/>
      <c r="Y66" s="36"/>
      <c r="Z66" s="18"/>
      <c r="AA66" s="36"/>
      <c r="AB66" s="19"/>
      <c r="AC66" s="20"/>
      <c r="AD66" s="21"/>
      <c r="AE66" s="20"/>
      <c r="AF66" s="20"/>
      <c r="AG66" s="20"/>
      <c r="AH66" s="20"/>
      <c r="AI66" s="20"/>
      <c r="AJ66" s="20"/>
      <c r="AK66" s="23"/>
      <c r="AL66" s="23"/>
      <c r="AM66" s="111"/>
      <c r="AN66" s="114"/>
      <c r="AO66" s="114"/>
      <c r="AP66" s="114"/>
      <c r="AQ66" s="114"/>
      <c r="AR66" s="114"/>
      <c r="AS66" s="114"/>
      <c r="AT66" s="23"/>
      <c r="AU66" s="23"/>
      <c r="AV66" s="23"/>
      <c r="AW66" s="23"/>
      <c r="AX66" s="23"/>
      <c r="AY66" s="23"/>
      <c r="AZ66" s="23"/>
      <c r="BA66" s="23"/>
    </row>
    <row r="67" spans="1:53" s="105" customFormat="1" ht="14" x14ac:dyDescent="0.15">
      <c r="A67" s="35"/>
      <c r="B67" s="34"/>
      <c r="C67" s="34"/>
      <c r="D67" s="110"/>
      <c r="E67" s="34"/>
      <c r="F67" s="34"/>
      <c r="G67" s="94"/>
      <c r="H67" s="37"/>
      <c r="I67" s="37"/>
      <c r="J67" s="37"/>
      <c r="K67" s="16"/>
      <c r="L67" s="28"/>
      <c r="M67" s="17"/>
      <c r="N67" s="17"/>
      <c r="O67" s="17"/>
      <c r="P67" s="17"/>
      <c r="Q67" s="17"/>
      <c r="R67" s="28"/>
      <c r="S67" s="28"/>
      <c r="T67" s="17"/>
      <c r="U67" s="17"/>
      <c r="V67" s="28"/>
      <c r="W67" s="17"/>
      <c r="X67" s="17"/>
      <c r="Y67" s="36"/>
      <c r="Z67" s="18"/>
      <c r="AA67" s="36"/>
      <c r="AB67" s="19"/>
      <c r="AC67" s="20"/>
      <c r="AD67" s="21"/>
      <c r="AE67" s="20"/>
      <c r="AF67" s="20"/>
      <c r="AG67" s="20"/>
      <c r="AH67" s="20"/>
      <c r="AI67" s="20"/>
      <c r="AJ67" s="20"/>
      <c r="AK67" s="23"/>
      <c r="AL67" s="23"/>
      <c r="AM67" s="111"/>
      <c r="AN67" s="114"/>
      <c r="AO67" s="114"/>
      <c r="AP67" s="114"/>
      <c r="AQ67" s="114"/>
      <c r="AR67" s="114"/>
      <c r="AS67" s="114"/>
      <c r="AT67" s="23"/>
      <c r="AU67" s="23"/>
      <c r="AV67" s="23"/>
      <c r="AW67" s="23"/>
      <c r="AX67" s="23"/>
      <c r="AY67" s="23"/>
      <c r="AZ67" s="23"/>
      <c r="BA67" s="23"/>
    </row>
    <row r="68" spans="1:53" s="105" customFormat="1" ht="14" x14ac:dyDescent="0.15">
      <c r="A68" s="35"/>
      <c r="B68" s="34"/>
      <c r="C68" s="34"/>
      <c r="D68" s="110"/>
      <c r="E68" s="34"/>
      <c r="F68" s="34"/>
      <c r="G68" s="94"/>
      <c r="H68" s="37"/>
      <c r="I68" s="37"/>
      <c r="J68" s="37"/>
      <c r="K68" s="16"/>
      <c r="L68" s="28"/>
      <c r="M68" s="17"/>
      <c r="N68" s="17"/>
      <c r="O68" s="17"/>
      <c r="P68" s="17"/>
      <c r="Q68" s="17"/>
      <c r="R68" s="28"/>
      <c r="S68" s="28"/>
      <c r="T68" s="17"/>
      <c r="U68" s="17"/>
      <c r="V68" s="28"/>
      <c r="W68" s="17"/>
      <c r="X68" s="17"/>
      <c r="Y68" s="36"/>
      <c r="Z68" s="18"/>
      <c r="AA68" s="36"/>
      <c r="AB68" s="19"/>
      <c r="AC68" s="20"/>
      <c r="AD68" s="21"/>
      <c r="AE68" s="20"/>
      <c r="AF68" s="20"/>
      <c r="AG68" s="20"/>
      <c r="AH68" s="20"/>
      <c r="AI68" s="20"/>
      <c r="AJ68" s="20"/>
      <c r="AK68" s="23"/>
      <c r="AL68" s="23"/>
      <c r="AM68" s="111"/>
      <c r="AN68" s="114"/>
      <c r="AO68" s="114"/>
      <c r="AP68" s="114"/>
      <c r="AQ68" s="114"/>
      <c r="AR68" s="114"/>
      <c r="AS68" s="114"/>
      <c r="AT68" s="23"/>
      <c r="AU68" s="23"/>
      <c r="AV68" s="23"/>
      <c r="AW68" s="23"/>
      <c r="AX68" s="23"/>
      <c r="AY68" s="23"/>
      <c r="AZ68" s="23"/>
      <c r="BA68" s="23"/>
    </row>
    <row r="69" spans="1:53" s="105" customFormat="1" ht="14" x14ac:dyDescent="0.15">
      <c r="A69" s="35"/>
      <c r="B69" s="34"/>
      <c r="C69" s="34"/>
      <c r="D69" s="110"/>
      <c r="E69" s="34"/>
      <c r="F69" s="34"/>
      <c r="G69" s="94"/>
      <c r="H69" s="37"/>
      <c r="I69" s="37"/>
      <c r="J69" s="37"/>
      <c r="K69" s="16"/>
      <c r="L69" s="28"/>
      <c r="M69" s="17"/>
      <c r="N69" s="17"/>
      <c r="O69" s="17"/>
      <c r="P69" s="17"/>
      <c r="Q69" s="17"/>
      <c r="R69" s="28"/>
      <c r="S69" s="28"/>
      <c r="T69" s="17"/>
      <c r="U69" s="17"/>
      <c r="V69" s="28"/>
      <c r="W69" s="17"/>
      <c r="X69" s="17"/>
      <c r="Y69" s="36"/>
      <c r="Z69" s="18"/>
      <c r="AA69" s="36"/>
      <c r="AB69" s="19"/>
      <c r="AC69" s="20"/>
      <c r="AD69" s="21"/>
      <c r="AE69" s="20"/>
      <c r="AF69" s="20"/>
      <c r="AG69" s="20"/>
      <c r="AH69" s="20"/>
      <c r="AI69" s="20"/>
      <c r="AJ69" s="20"/>
      <c r="AK69" s="23"/>
      <c r="AL69" s="23"/>
      <c r="AM69" s="111"/>
      <c r="AN69" s="114"/>
      <c r="AO69" s="114"/>
      <c r="AP69" s="114"/>
      <c r="AQ69" s="114"/>
      <c r="AR69" s="114"/>
      <c r="AS69" s="114"/>
      <c r="AT69" s="23"/>
      <c r="AU69" s="23"/>
      <c r="AV69" s="23"/>
      <c r="AW69" s="23"/>
      <c r="AX69" s="23"/>
      <c r="AY69" s="23"/>
      <c r="AZ69" s="23"/>
      <c r="BA69" s="23"/>
    </row>
    <row r="70" spans="1:53" s="105" customFormat="1" ht="14" x14ac:dyDescent="0.15">
      <c r="A70" s="35"/>
      <c r="B70" s="34"/>
      <c r="C70" s="34"/>
      <c r="D70" s="110"/>
      <c r="E70" s="34"/>
      <c r="F70" s="34"/>
      <c r="G70" s="94"/>
      <c r="H70" s="37"/>
      <c r="I70" s="37"/>
      <c r="J70" s="37"/>
      <c r="K70" s="16"/>
      <c r="L70" s="28"/>
      <c r="M70" s="17"/>
      <c r="N70" s="17"/>
      <c r="O70" s="17"/>
      <c r="P70" s="17"/>
      <c r="Q70" s="17"/>
      <c r="R70" s="28"/>
      <c r="S70" s="28"/>
      <c r="T70" s="17"/>
      <c r="U70" s="17"/>
      <c r="V70" s="28"/>
      <c r="W70" s="17"/>
      <c r="X70" s="17"/>
      <c r="Y70" s="36"/>
      <c r="Z70" s="18"/>
      <c r="AA70" s="36"/>
      <c r="AB70" s="19"/>
      <c r="AC70" s="20"/>
      <c r="AD70" s="21"/>
      <c r="AE70" s="20"/>
      <c r="AF70" s="20"/>
      <c r="AG70" s="20"/>
      <c r="AH70" s="20"/>
      <c r="AI70" s="20"/>
      <c r="AJ70" s="20"/>
      <c r="AK70" s="23"/>
      <c r="AL70" s="23"/>
      <c r="AM70" s="111"/>
      <c r="AN70" s="114"/>
      <c r="AO70" s="114"/>
      <c r="AP70" s="114"/>
      <c r="AQ70" s="114"/>
      <c r="AR70" s="114"/>
      <c r="AS70" s="114"/>
      <c r="AT70" s="23"/>
      <c r="AU70" s="23"/>
      <c r="AV70" s="23"/>
      <c r="AW70" s="23"/>
      <c r="AX70" s="23"/>
      <c r="AY70" s="23"/>
      <c r="AZ70" s="23"/>
      <c r="BA70" s="23"/>
    </row>
    <row r="71" spans="1:53" s="105" customFormat="1" ht="14" x14ac:dyDescent="0.15">
      <c r="A71" s="35"/>
      <c r="B71" s="34"/>
      <c r="C71" s="34"/>
      <c r="D71" s="110"/>
      <c r="E71" s="34"/>
      <c r="F71" s="34"/>
      <c r="G71" s="94"/>
      <c r="H71" s="37"/>
      <c r="I71" s="37"/>
      <c r="J71" s="37"/>
      <c r="K71" s="16"/>
      <c r="L71" s="28"/>
      <c r="M71" s="17"/>
      <c r="N71" s="17"/>
      <c r="O71" s="17"/>
      <c r="P71" s="17"/>
      <c r="Q71" s="17"/>
      <c r="R71" s="28"/>
      <c r="S71" s="28"/>
      <c r="T71" s="17"/>
      <c r="U71" s="17"/>
      <c r="V71" s="28"/>
      <c r="W71" s="17"/>
      <c r="X71" s="17"/>
      <c r="Y71" s="36"/>
      <c r="Z71" s="18"/>
      <c r="AA71" s="36"/>
      <c r="AB71" s="19"/>
      <c r="AC71" s="20"/>
      <c r="AD71" s="21"/>
      <c r="AE71" s="20"/>
      <c r="AF71" s="20"/>
      <c r="AG71" s="20"/>
      <c r="AH71" s="20"/>
      <c r="AI71" s="20"/>
      <c r="AJ71" s="20"/>
      <c r="AK71" s="23"/>
      <c r="AL71" s="23"/>
      <c r="AM71" s="111"/>
      <c r="AN71" s="114"/>
      <c r="AO71" s="114"/>
      <c r="AP71" s="114"/>
      <c r="AQ71" s="114"/>
      <c r="AR71" s="114"/>
      <c r="AS71" s="114"/>
      <c r="AT71" s="23"/>
      <c r="AU71" s="23"/>
      <c r="AV71" s="23"/>
      <c r="AW71" s="23"/>
      <c r="AX71" s="23"/>
      <c r="AY71" s="23"/>
      <c r="AZ71" s="23"/>
      <c r="BA71" s="23"/>
    </row>
    <row r="72" spans="1:53" s="105" customFormat="1" ht="14" x14ac:dyDescent="0.15">
      <c r="A72" s="35"/>
      <c r="B72" s="34"/>
      <c r="C72" s="34"/>
      <c r="D72" s="110"/>
      <c r="E72" s="34"/>
      <c r="F72" s="34"/>
      <c r="G72" s="94"/>
      <c r="H72" s="37"/>
      <c r="I72" s="37"/>
      <c r="J72" s="37"/>
      <c r="K72" s="16"/>
      <c r="L72" s="28"/>
      <c r="M72" s="17"/>
      <c r="N72" s="17"/>
      <c r="O72" s="17"/>
      <c r="P72" s="17"/>
      <c r="Q72" s="17"/>
      <c r="R72" s="28"/>
      <c r="S72" s="28"/>
      <c r="T72" s="17"/>
      <c r="U72" s="17"/>
      <c r="V72" s="28"/>
      <c r="W72" s="17"/>
      <c r="X72" s="17"/>
      <c r="Y72" s="36"/>
      <c r="Z72" s="18"/>
      <c r="AA72" s="36"/>
      <c r="AB72" s="19"/>
      <c r="AC72" s="20"/>
      <c r="AD72" s="21"/>
      <c r="AE72" s="20"/>
      <c r="AF72" s="20"/>
      <c r="AG72" s="20"/>
      <c r="AH72" s="20"/>
      <c r="AI72" s="20"/>
      <c r="AJ72" s="20"/>
      <c r="AK72" s="23"/>
      <c r="AL72" s="23"/>
      <c r="AM72" s="111"/>
      <c r="AN72" s="114"/>
      <c r="AO72" s="114"/>
      <c r="AP72" s="114"/>
      <c r="AQ72" s="114"/>
      <c r="AR72" s="114"/>
      <c r="AS72" s="114"/>
      <c r="AT72" s="23"/>
      <c r="AU72" s="23"/>
      <c r="AV72" s="23"/>
      <c r="AW72" s="23"/>
      <c r="AX72" s="23"/>
      <c r="AY72" s="23"/>
      <c r="AZ72" s="23"/>
      <c r="BA72" s="23"/>
    </row>
    <row r="73" spans="1:53" s="105" customFormat="1" ht="14" x14ac:dyDescent="0.15">
      <c r="A73" s="35"/>
      <c r="B73" s="34"/>
      <c r="C73" s="34"/>
      <c r="D73" s="110"/>
      <c r="E73" s="34"/>
      <c r="F73" s="34"/>
      <c r="G73" s="94"/>
      <c r="H73" s="37"/>
      <c r="I73" s="37"/>
      <c r="J73" s="37"/>
      <c r="K73" s="16"/>
      <c r="L73" s="28"/>
      <c r="M73" s="17"/>
      <c r="N73" s="17"/>
      <c r="O73" s="17"/>
      <c r="P73" s="17"/>
      <c r="Q73" s="17"/>
      <c r="R73" s="28"/>
      <c r="S73" s="28"/>
      <c r="T73" s="17"/>
      <c r="U73" s="17"/>
      <c r="V73" s="28"/>
      <c r="W73" s="17"/>
      <c r="X73" s="17"/>
      <c r="Y73" s="36"/>
      <c r="Z73" s="18"/>
      <c r="AA73" s="36"/>
      <c r="AB73" s="19"/>
      <c r="AC73" s="20"/>
      <c r="AD73" s="21"/>
      <c r="AE73" s="20"/>
      <c r="AF73" s="20"/>
      <c r="AG73" s="20"/>
      <c r="AH73" s="20"/>
      <c r="AI73" s="20"/>
      <c r="AJ73" s="20"/>
      <c r="AK73" s="23"/>
      <c r="AL73" s="23"/>
      <c r="AM73" s="111"/>
      <c r="AN73" s="114"/>
      <c r="AO73" s="114"/>
      <c r="AP73" s="114"/>
      <c r="AQ73" s="114"/>
      <c r="AR73" s="114"/>
      <c r="AS73" s="114"/>
      <c r="AT73" s="23"/>
      <c r="AU73" s="23"/>
      <c r="AV73" s="23"/>
      <c r="AW73" s="23"/>
      <c r="AX73" s="23"/>
      <c r="AY73" s="23"/>
      <c r="AZ73" s="23"/>
      <c r="BA73" s="23"/>
    </row>
    <row r="74" spans="1:53" s="105" customFormat="1" ht="14" x14ac:dyDescent="0.15">
      <c r="A74" s="35"/>
      <c r="B74" s="34"/>
      <c r="C74" s="34"/>
      <c r="D74" s="110"/>
      <c r="E74" s="34"/>
      <c r="F74" s="34"/>
      <c r="G74" s="94"/>
      <c r="H74" s="37"/>
      <c r="I74" s="37"/>
      <c r="J74" s="37"/>
      <c r="K74" s="16"/>
      <c r="L74" s="28"/>
      <c r="M74" s="17"/>
      <c r="N74" s="17"/>
      <c r="O74" s="17"/>
      <c r="P74" s="17"/>
      <c r="Q74" s="17"/>
      <c r="R74" s="28"/>
      <c r="S74" s="28"/>
      <c r="T74" s="17"/>
      <c r="U74" s="17"/>
      <c r="V74" s="28"/>
      <c r="W74" s="17"/>
      <c r="X74" s="17"/>
      <c r="Y74" s="36"/>
      <c r="Z74" s="18"/>
      <c r="AA74" s="36"/>
      <c r="AB74" s="19"/>
      <c r="AC74" s="20"/>
      <c r="AD74" s="21"/>
      <c r="AE74" s="20"/>
      <c r="AF74" s="20"/>
      <c r="AG74" s="20"/>
      <c r="AH74" s="20"/>
      <c r="AI74" s="20"/>
      <c r="AJ74" s="20"/>
      <c r="AK74" s="23"/>
      <c r="AL74" s="23"/>
      <c r="AM74" s="111"/>
      <c r="AN74" s="114"/>
      <c r="AO74" s="114"/>
      <c r="AP74" s="114"/>
      <c r="AQ74" s="114"/>
      <c r="AR74" s="114"/>
      <c r="AS74" s="114"/>
      <c r="AT74" s="23"/>
      <c r="AU74" s="23"/>
      <c r="AV74" s="23"/>
      <c r="AW74" s="23"/>
      <c r="AX74" s="23"/>
      <c r="AY74" s="23"/>
      <c r="AZ74" s="23"/>
      <c r="BA74" s="23"/>
    </row>
    <row r="75" spans="1:53" s="105" customFormat="1" ht="14" x14ac:dyDescent="0.15">
      <c r="A75" s="35"/>
      <c r="B75" s="34"/>
      <c r="C75" s="34"/>
      <c r="D75" s="110"/>
      <c r="E75" s="34"/>
      <c r="F75" s="34"/>
      <c r="G75" s="94"/>
      <c r="H75" s="37"/>
      <c r="I75" s="37"/>
      <c r="J75" s="37"/>
      <c r="K75" s="16"/>
      <c r="L75" s="28"/>
      <c r="M75" s="17"/>
      <c r="N75" s="17"/>
      <c r="O75" s="17"/>
      <c r="P75" s="17"/>
      <c r="Q75" s="17"/>
      <c r="R75" s="28"/>
      <c r="S75" s="28"/>
      <c r="T75" s="17"/>
      <c r="U75" s="17"/>
      <c r="V75" s="28"/>
      <c r="W75" s="17"/>
      <c r="X75" s="17"/>
      <c r="Y75" s="36"/>
      <c r="Z75" s="18"/>
      <c r="AA75" s="36"/>
      <c r="AB75" s="19"/>
      <c r="AC75" s="20"/>
      <c r="AD75" s="21"/>
      <c r="AE75" s="20"/>
      <c r="AF75" s="20"/>
      <c r="AG75" s="20"/>
      <c r="AH75" s="20"/>
      <c r="AI75" s="20"/>
      <c r="AJ75" s="20"/>
      <c r="AK75" s="23"/>
      <c r="AL75" s="23"/>
      <c r="AM75" s="111"/>
      <c r="AN75" s="114"/>
      <c r="AO75" s="114"/>
      <c r="AP75" s="114"/>
      <c r="AQ75" s="114"/>
      <c r="AR75" s="114"/>
      <c r="AS75" s="114"/>
      <c r="AT75" s="23"/>
      <c r="AU75" s="23"/>
      <c r="AV75" s="23"/>
      <c r="AW75" s="23"/>
      <c r="AX75" s="23"/>
      <c r="AY75" s="23"/>
      <c r="AZ75" s="23"/>
      <c r="BA75" s="23"/>
    </row>
    <row r="76" spans="1:53" s="105" customFormat="1" ht="14" x14ac:dyDescent="0.15">
      <c r="A76" s="35"/>
      <c r="B76" s="34"/>
      <c r="C76" s="34"/>
      <c r="D76" s="110"/>
      <c r="E76" s="34"/>
      <c r="F76" s="34"/>
      <c r="G76" s="94"/>
      <c r="H76" s="37"/>
      <c r="I76" s="37"/>
      <c r="J76" s="37"/>
      <c r="K76" s="16"/>
      <c r="L76" s="28"/>
      <c r="M76" s="17"/>
      <c r="N76" s="17"/>
      <c r="O76" s="17"/>
      <c r="P76" s="17"/>
      <c r="Q76" s="17"/>
      <c r="R76" s="28"/>
      <c r="S76" s="28"/>
      <c r="T76" s="17"/>
      <c r="U76" s="17"/>
      <c r="V76" s="28"/>
      <c r="W76" s="17"/>
      <c r="X76" s="17"/>
      <c r="Y76" s="36"/>
      <c r="Z76" s="18"/>
      <c r="AA76" s="36"/>
      <c r="AB76" s="19"/>
      <c r="AC76" s="20"/>
      <c r="AD76" s="21"/>
      <c r="AE76" s="20"/>
      <c r="AF76" s="20"/>
      <c r="AG76" s="20"/>
      <c r="AH76" s="20"/>
      <c r="AI76" s="20"/>
      <c r="AJ76" s="20"/>
      <c r="AK76" s="23"/>
      <c r="AL76" s="23"/>
      <c r="AM76" s="111"/>
      <c r="AN76" s="114"/>
      <c r="AO76" s="114"/>
      <c r="AP76" s="114"/>
      <c r="AQ76" s="114"/>
      <c r="AR76" s="114"/>
      <c r="AS76" s="114"/>
      <c r="AT76" s="23"/>
      <c r="AU76" s="23"/>
      <c r="AV76" s="23"/>
      <c r="AW76" s="23"/>
      <c r="AX76" s="23"/>
      <c r="AY76" s="23"/>
      <c r="AZ76" s="23"/>
      <c r="BA76" s="23"/>
    </row>
    <row r="77" spans="1:53" s="105" customFormat="1" ht="14" x14ac:dyDescent="0.15">
      <c r="A77" s="35"/>
      <c r="B77" s="34"/>
      <c r="C77" s="34"/>
      <c r="D77" s="110"/>
      <c r="E77" s="34"/>
      <c r="F77" s="34"/>
      <c r="G77" s="94"/>
      <c r="H77" s="37"/>
      <c r="I77" s="37"/>
      <c r="J77" s="37"/>
      <c r="K77" s="16"/>
      <c r="L77" s="28"/>
      <c r="M77" s="17"/>
      <c r="N77" s="17"/>
      <c r="O77" s="17"/>
      <c r="P77" s="17"/>
      <c r="Q77" s="17"/>
      <c r="R77" s="28"/>
      <c r="S77" s="28"/>
      <c r="T77" s="17"/>
      <c r="U77" s="17"/>
      <c r="V77" s="28"/>
      <c r="W77" s="17"/>
      <c r="X77" s="17"/>
      <c r="Y77" s="36"/>
      <c r="Z77" s="18"/>
      <c r="AA77" s="36"/>
      <c r="AB77" s="19"/>
      <c r="AC77" s="20"/>
      <c r="AD77" s="21"/>
      <c r="AE77" s="20"/>
      <c r="AF77" s="20"/>
      <c r="AG77" s="20"/>
      <c r="AH77" s="20"/>
      <c r="AI77" s="20"/>
      <c r="AJ77" s="20"/>
      <c r="AK77" s="23"/>
      <c r="AL77" s="23"/>
      <c r="AM77" s="111"/>
      <c r="AN77" s="114"/>
      <c r="AO77" s="114"/>
      <c r="AP77" s="114"/>
      <c r="AQ77" s="114"/>
      <c r="AR77" s="114"/>
      <c r="AS77" s="114"/>
      <c r="AT77" s="23"/>
      <c r="AU77" s="23"/>
      <c r="AV77" s="23"/>
      <c r="AW77" s="23"/>
      <c r="AX77" s="23"/>
      <c r="AY77" s="23"/>
      <c r="AZ77" s="23"/>
      <c r="BA77" s="23"/>
    </row>
    <row r="78" spans="1:53" s="105" customFormat="1" ht="14" x14ac:dyDescent="0.15">
      <c r="A78" s="35"/>
      <c r="B78" s="34"/>
      <c r="C78" s="34"/>
      <c r="D78" s="110"/>
      <c r="E78" s="34"/>
      <c r="F78" s="34"/>
      <c r="G78" s="94"/>
      <c r="H78" s="37"/>
      <c r="I78" s="37"/>
      <c r="J78" s="37"/>
      <c r="K78" s="16"/>
      <c r="L78" s="28"/>
      <c r="M78" s="17"/>
      <c r="N78" s="17"/>
      <c r="O78" s="17"/>
      <c r="P78" s="17"/>
      <c r="Q78" s="17"/>
      <c r="R78" s="28"/>
      <c r="S78" s="28"/>
      <c r="T78" s="17"/>
      <c r="U78" s="17"/>
      <c r="V78" s="28"/>
      <c r="W78" s="17"/>
      <c r="X78" s="17"/>
      <c r="Y78" s="36"/>
      <c r="Z78" s="18"/>
      <c r="AA78" s="36"/>
      <c r="AB78" s="19"/>
      <c r="AC78" s="20"/>
      <c r="AD78" s="21"/>
      <c r="AE78" s="20"/>
      <c r="AF78" s="20"/>
      <c r="AG78" s="20"/>
      <c r="AH78" s="20"/>
      <c r="AI78" s="20"/>
      <c r="AJ78" s="20"/>
      <c r="AK78" s="23"/>
      <c r="AL78" s="23"/>
      <c r="AM78" s="111"/>
      <c r="AN78" s="114"/>
      <c r="AO78" s="114"/>
      <c r="AP78" s="114"/>
      <c r="AQ78" s="114"/>
      <c r="AR78" s="114"/>
      <c r="AS78" s="114"/>
      <c r="AT78" s="23"/>
      <c r="AU78" s="23"/>
      <c r="AV78" s="23"/>
      <c r="AW78" s="23"/>
      <c r="AX78" s="23"/>
      <c r="AY78" s="23"/>
      <c r="AZ78" s="23"/>
      <c r="BA78" s="23"/>
    </row>
    <row r="79" spans="1:53" s="105" customFormat="1" ht="14" x14ac:dyDescent="0.15">
      <c r="A79" s="35"/>
      <c r="B79" s="34"/>
      <c r="C79" s="34"/>
      <c r="D79" s="110"/>
      <c r="E79" s="34"/>
      <c r="F79" s="34"/>
      <c r="G79" s="94"/>
      <c r="H79" s="37"/>
      <c r="I79" s="37"/>
      <c r="J79" s="37"/>
      <c r="K79" s="16"/>
      <c r="L79" s="28"/>
      <c r="M79" s="17"/>
      <c r="N79" s="17"/>
      <c r="O79" s="17"/>
      <c r="P79" s="17"/>
      <c r="Q79" s="17"/>
      <c r="R79" s="28"/>
      <c r="S79" s="28"/>
      <c r="T79" s="17"/>
      <c r="U79" s="17"/>
      <c r="V79" s="28"/>
      <c r="W79" s="17"/>
      <c r="X79" s="17"/>
      <c r="Y79" s="36"/>
      <c r="Z79" s="18"/>
      <c r="AA79" s="36"/>
      <c r="AB79" s="19"/>
      <c r="AC79" s="20"/>
      <c r="AD79" s="21"/>
      <c r="AE79" s="20"/>
      <c r="AF79" s="20"/>
      <c r="AG79" s="20"/>
      <c r="AH79" s="20"/>
      <c r="AI79" s="20"/>
      <c r="AJ79" s="20"/>
      <c r="AK79" s="23"/>
      <c r="AL79" s="23"/>
      <c r="AM79" s="111"/>
      <c r="AN79" s="114"/>
      <c r="AO79" s="114"/>
      <c r="AP79" s="114"/>
      <c r="AQ79" s="114"/>
      <c r="AR79" s="114"/>
      <c r="AS79" s="114"/>
      <c r="AT79" s="23"/>
      <c r="AU79" s="23"/>
      <c r="AV79" s="23"/>
      <c r="AW79" s="23"/>
      <c r="AX79" s="23"/>
      <c r="AY79" s="23"/>
      <c r="AZ79" s="23"/>
      <c r="BA79" s="23"/>
    </row>
    <row r="80" spans="1:53" s="105" customFormat="1" ht="14" x14ac:dyDescent="0.15">
      <c r="A80" s="35"/>
      <c r="B80" s="34"/>
      <c r="C80" s="34"/>
      <c r="D80" s="110"/>
      <c r="E80" s="34"/>
      <c r="F80" s="34"/>
      <c r="G80" s="94"/>
      <c r="H80" s="37"/>
      <c r="I80" s="37"/>
      <c r="J80" s="37"/>
      <c r="K80" s="16"/>
      <c r="L80" s="28"/>
      <c r="M80" s="17"/>
      <c r="N80" s="17"/>
      <c r="O80" s="17"/>
      <c r="P80" s="17"/>
      <c r="Q80" s="17"/>
      <c r="R80" s="28"/>
      <c r="S80" s="28"/>
      <c r="T80" s="17"/>
      <c r="U80" s="17"/>
      <c r="V80" s="28"/>
      <c r="W80" s="17"/>
      <c r="X80" s="17"/>
      <c r="Y80" s="36"/>
      <c r="Z80" s="18"/>
      <c r="AA80" s="36"/>
      <c r="AB80" s="19"/>
      <c r="AC80" s="20"/>
      <c r="AD80" s="21"/>
      <c r="AE80" s="20"/>
      <c r="AF80" s="20"/>
      <c r="AG80" s="20"/>
      <c r="AH80" s="20"/>
      <c r="AI80" s="20"/>
      <c r="AJ80" s="20"/>
      <c r="AK80" s="23"/>
      <c r="AL80" s="23"/>
      <c r="AM80" s="111"/>
      <c r="AN80" s="114"/>
      <c r="AO80" s="114"/>
      <c r="AP80" s="114"/>
      <c r="AQ80" s="114"/>
      <c r="AR80" s="114"/>
      <c r="AS80" s="114"/>
      <c r="AT80" s="23"/>
      <c r="AU80" s="23"/>
      <c r="AV80" s="23"/>
      <c r="AW80" s="23"/>
      <c r="AX80" s="23"/>
      <c r="AY80" s="23"/>
      <c r="AZ80" s="23"/>
      <c r="BA80" s="23"/>
    </row>
    <row r="81" spans="1:53" s="105" customFormat="1" ht="14" x14ac:dyDescent="0.15">
      <c r="A81" s="35"/>
      <c r="B81" s="34"/>
      <c r="C81" s="34"/>
      <c r="D81" s="110"/>
      <c r="E81" s="34"/>
      <c r="F81" s="34"/>
      <c r="G81" s="94"/>
      <c r="H81" s="37"/>
      <c r="I81" s="37"/>
      <c r="J81" s="37"/>
      <c r="K81" s="16"/>
      <c r="L81" s="28"/>
      <c r="M81" s="17"/>
      <c r="N81" s="17"/>
      <c r="O81" s="17"/>
      <c r="P81" s="17"/>
      <c r="Q81" s="17"/>
      <c r="R81" s="28"/>
      <c r="S81" s="28"/>
      <c r="T81" s="17"/>
      <c r="U81" s="17"/>
      <c r="V81" s="28"/>
      <c r="W81" s="17"/>
      <c r="X81" s="17"/>
      <c r="Y81" s="36"/>
      <c r="Z81" s="18"/>
      <c r="AA81" s="36"/>
      <c r="AB81" s="19"/>
      <c r="AC81" s="20"/>
      <c r="AD81" s="21"/>
      <c r="AE81" s="20"/>
      <c r="AF81" s="20"/>
      <c r="AG81" s="20"/>
      <c r="AH81" s="20"/>
      <c r="AI81" s="20"/>
      <c r="AJ81" s="20"/>
      <c r="AK81" s="23"/>
      <c r="AL81" s="23"/>
      <c r="AM81" s="111"/>
      <c r="AN81" s="114"/>
      <c r="AO81" s="114"/>
      <c r="AP81" s="114"/>
      <c r="AQ81" s="114"/>
      <c r="AR81" s="114"/>
      <c r="AS81" s="114"/>
      <c r="AT81" s="23"/>
      <c r="AU81" s="23"/>
      <c r="AV81" s="23"/>
      <c r="AW81" s="23"/>
      <c r="AX81" s="23"/>
      <c r="AY81" s="23"/>
      <c r="AZ81" s="23"/>
      <c r="BA81" s="23"/>
    </row>
    <row r="82" spans="1:53" s="105" customFormat="1" ht="14" x14ac:dyDescent="0.15">
      <c r="A82" s="35"/>
      <c r="B82" s="34"/>
      <c r="C82" s="34"/>
      <c r="D82" s="110"/>
      <c r="E82" s="34"/>
      <c r="F82" s="34"/>
      <c r="G82" s="94"/>
      <c r="H82" s="37"/>
      <c r="I82" s="37"/>
      <c r="J82" s="37"/>
      <c r="K82" s="16"/>
      <c r="L82" s="28"/>
      <c r="M82" s="17"/>
      <c r="N82" s="17"/>
      <c r="O82" s="17"/>
      <c r="P82" s="17"/>
      <c r="Q82" s="17"/>
      <c r="R82" s="28"/>
      <c r="S82" s="28"/>
      <c r="T82" s="17"/>
      <c r="U82" s="17"/>
      <c r="V82" s="28"/>
      <c r="W82" s="17"/>
      <c r="X82" s="17"/>
      <c r="Y82" s="36"/>
      <c r="Z82" s="18"/>
      <c r="AA82" s="36"/>
      <c r="AB82" s="19"/>
      <c r="AC82" s="20"/>
      <c r="AD82" s="21"/>
      <c r="AE82" s="20"/>
      <c r="AF82" s="20"/>
      <c r="AG82" s="20"/>
      <c r="AH82" s="20"/>
      <c r="AI82" s="20"/>
      <c r="AJ82" s="20"/>
      <c r="AK82" s="23"/>
      <c r="AL82" s="23"/>
      <c r="AM82" s="111"/>
      <c r="AN82" s="114"/>
      <c r="AO82" s="114"/>
      <c r="AP82" s="114"/>
      <c r="AQ82" s="114"/>
      <c r="AR82" s="114"/>
      <c r="AS82" s="114"/>
      <c r="AT82" s="23"/>
      <c r="AU82" s="23"/>
      <c r="AV82" s="23"/>
      <c r="AW82" s="23"/>
      <c r="AX82" s="23"/>
      <c r="AY82" s="23"/>
      <c r="AZ82" s="23"/>
      <c r="BA82" s="23"/>
    </row>
    <row r="83" spans="1:53" s="105" customFormat="1" ht="14" x14ac:dyDescent="0.15">
      <c r="A83" s="35"/>
      <c r="B83" s="34"/>
      <c r="C83" s="34"/>
      <c r="D83" s="110"/>
      <c r="E83" s="34"/>
      <c r="F83" s="34"/>
      <c r="G83" s="94"/>
      <c r="H83" s="37"/>
      <c r="I83" s="37"/>
      <c r="J83" s="37"/>
      <c r="K83" s="16"/>
      <c r="L83" s="28"/>
      <c r="M83" s="17"/>
      <c r="N83" s="17"/>
      <c r="O83" s="17"/>
      <c r="P83" s="17"/>
      <c r="Q83" s="17"/>
      <c r="R83" s="28"/>
      <c r="S83" s="28"/>
      <c r="T83" s="17"/>
      <c r="U83" s="17"/>
      <c r="V83" s="28"/>
      <c r="W83" s="17"/>
      <c r="X83" s="17"/>
      <c r="Y83" s="36"/>
      <c r="Z83" s="18"/>
      <c r="AA83" s="36"/>
      <c r="AB83" s="19"/>
      <c r="AC83" s="20"/>
      <c r="AD83" s="21"/>
      <c r="AE83" s="20"/>
      <c r="AF83" s="20"/>
      <c r="AG83" s="20"/>
      <c r="AH83" s="20"/>
      <c r="AI83" s="20"/>
      <c r="AJ83" s="20"/>
      <c r="AK83" s="23"/>
      <c r="AL83" s="23"/>
      <c r="AM83" s="111"/>
      <c r="AN83" s="114"/>
      <c r="AO83" s="114"/>
      <c r="AP83" s="114"/>
      <c r="AQ83" s="114"/>
      <c r="AR83" s="114"/>
      <c r="AS83" s="114"/>
      <c r="AT83" s="23"/>
      <c r="AU83" s="23"/>
      <c r="AV83" s="23"/>
      <c r="AW83" s="23"/>
      <c r="AX83" s="23"/>
      <c r="AY83" s="23"/>
      <c r="AZ83" s="23"/>
      <c r="BA83" s="23"/>
    </row>
    <row r="84" spans="1:53" s="105" customFormat="1" ht="14" x14ac:dyDescent="0.15">
      <c r="A84" s="35"/>
      <c r="B84" s="34"/>
      <c r="C84" s="34"/>
      <c r="D84" s="110"/>
      <c r="E84" s="34"/>
      <c r="F84" s="34"/>
      <c r="G84" s="94"/>
      <c r="H84" s="37"/>
      <c r="I84" s="37"/>
      <c r="J84" s="37"/>
      <c r="K84" s="16"/>
      <c r="L84" s="28"/>
      <c r="M84" s="17"/>
      <c r="N84" s="17"/>
      <c r="O84" s="17"/>
      <c r="P84" s="17"/>
      <c r="Q84" s="17"/>
      <c r="R84" s="28"/>
      <c r="S84" s="28"/>
      <c r="T84" s="17"/>
      <c r="U84" s="17"/>
      <c r="V84" s="28"/>
      <c r="W84" s="17"/>
      <c r="X84" s="17"/>
      <c r="Y84" s="36"/>
      <c r="Z84" s="18"/>
      <c r="AA84" s="36"/>
      <c r="AB84" s="19"/>
      <c r="AC84" s="20"/>
      <c r="AD84" s="21"/>
      <c r="AE84" s="20"/>
      <c r="AF84" s="20"/>
      <c r="AG84" s="20"/>
      <c r="AH84" s="20"/>
      <c r="AI84" s="20"/>
      <c r="AJ84" s="20"/>
      <c r="AK84" s="23"/>
      <c r="AL84" s="23"/>
      <c r="AM84" s="111"/>
      <c r="AN84" s="114"/>
      <c r="AO84" s="114"/>
      <c r="AP84" s="114"/>
      <c r="AQ84" s="114"/>
      <c r="AR84" s="114"/>
      <c r="AS84" s="114"/>
      <c r="AT84" s="23"/>
      <c r="AU84" s="23"/>
      <c r="AV84" s="23"/>
      <c r="AW84" s="23"/>
      <c r="AX84" s="23"/>
      <c r="AY84" s="23"/>
      <c r="AZ84" s="23"/>
      <c r="BA84" s="23"/>
    </row>
    <row r="85" spans="1:53" s="105" customFormat="1" ht="14" x14ac:dyDescent="0.15">
      <c r="A85" s="35"/>
      <c r="B85" s="34"/>
      <c r="C85" s="34"/>
      <c r="D85" s="110"/>
      <c r="E85" s="34"/>
      <c r="F85" s="34"/>
      <c r="G85" s="94"/>
      <c r="H85" s="37"/>
      <c r="I85" s="37"/>
      <c r="J85" s="37"/>
      <c r="K85" s="16"/>
      <c r="L85" s="28"/>
      <c r="M85" s="17"/>
      <c r="N85" s="17"/>
      <c r="O85" s="17"/>
      <c r="P85" s="17"/>
      <c r="Q85" s="17"/>
      <c r="R85" s="28"/>
      <c r="S85" s="28"/>
      <c r="T85" s="17"/>
      <c r="U85" s="17"/>
      <c r="V85" s="28"/>
      <c r="W85" s="17"/>
      <c r="X85" s="17"/>
      <c r="Y85" s="36"/>
      <c r="Z85" s="18"/>
      <c r="AA85" s="36"/>
      <c r="AB85" s="19"/>
      <c r="AC85" s="20"/>
      <c r="AD85" s="21"/>
      <c r="AE85" s="20"/>
      <c r="AF85" s="20"/>
      <c r="AG85" s="20"/>
      <c r="AH85" s="20"/>
      <c r="AI85" s="20"/>
      <c r="AJ85" s="20"/>
      <c r="AK85" s="23"/>
      <c r="AL85" s="23"/>
      <c r="AM85" s="111"/>
      <c r="AN85" s="114"/>
      <c r="AO85" s="114"/>
      <c r="AP85" s="114"/>
      <c r="AQ85" s="114"/>
      <c r="AR85" s="114"/>
      <c r="AS85" s="114"/>
      <c r="AT85" s="23"/>
      <c r="AU85" s="23"/>
      <c r="AV85" s="23"/>
      <c r="AW85" s="23"/>
      <c r="AX85" s="23"/>
      <c r="AY85" s="23"/>
      <c r="AZ85" s="23"/>
      <c r="BA85" s="23"/>
    </row>
    <row r="86" spans="1:53" s="105" customFormat="1" ht="14" x14ac:dyDescent="0.15">
      <c r="A86" s="35"/>
      <c r="B86" s="34"/>
      <c r="C86" s="34"/>
      <c r="D86" s="110"/>
      <c r="E86" s="34"/>
      <c r="F86" s="34"/>
      <c r="G86" s="94"/>
      <c r="H86" s="37"/>
      <c r="I86" s="37"/>
      <c r="J86" s="37"/>
      <c r="K86" s="16"/>
      <c r="L86" s="28"/>
      <c r="M86" s="17"/>
      <c r="N86" s="17"/>
      <c r="O86" s="17"/>
      <c r="P86" s="17"/>
      <c r="Q86" s="17"/>
      <c r="R86" s="28"/>
      <c r="S86" s="28"/>
      <c r="T86" s="17"/>
      <c r="U86" s="17"/>
      <c r="V86" s="28"/>
      <c r="W86" s="17"/>
      <c r="X86" s="17"/>
      <c r="Y86" s="36"/>
      <c r="Z86" s="18"/>
      <c r="AA86" s="36"/>
      <c r="AB86" s="19"/>
      <c r="AC86" s="20"/>
      <c r="AD86" s="21"/>
      <c r="AE86" s="20"/>
      <c r="AF86" s="20"/>
      <c r="AG86" s="20"/>
      <c r="AH86" s="20"/>
      <c r="AI86" s="20"/>
      <c r="AJ86" s="20"/>
      <c r="AK86" s="23"/>
      <c r="AL86" s="23"/>
      <c r="AM86" s="111"/>
      <c r="AN86" s="114"/>
      <c r="AO86" s="114"/>
      <c r="AP86" s="114"/>
      <c r="AQ86" s="114"/>
      <c r="AR86" s="114"/>
      <c r="AS86" s="114"/>
      <c r="AT86" s="23"/>
      <c r="AU86" s="23"/>
      <c r="AV86" s="23"/>
      <c r="AW86" s="23"/>
      <c r="AX86" s="23"/>
      <c r="AY86" s="23"/>
      <c r="AZ86" s="23"/>
      <c r="BA86" s="23"/>
    </row>
    <row r="87" spans="1:53" s="105" customFormat="1" ht="14" x14ac:dyDescent="0.15">
      <c r="A87" s="35"/>
      <c r="B87" s="34"/>
      <c r="C87" s="34"/>
      <c r="D87" s="110"/>
      <c r="E87" s="34"/>
      <c r="F87" s="34"/>
      <c r="G87" s="94"/>
      <c r="H87" s="37"/>
      <c r="I87" s="37"/>
      <c r="J87" s="37"/>
      <c r="K87" s="16"/>
      <c r="L87" s="28"/>
      <c r="M87" s="17"/>
      <c r="N87" s="17"/>
      <c r="O87" s="17"/>
      <c r="P87" s="17"/>
      <c r="Q87" s="17"/>
      <c r="R87" s="28"/>
      <c r="S87" s="28"/>
      <c r="T87" s="17"/>
      <c r="U87" s="17"/>
      <c r="V87" s="28"/>
      <c r="W87" s="17"/>
      <c r="X87" s="17"/>
      <c r="Y87" s="36"/>
      <c r="Z87" s="18"/>
      <c r="AA87" s="36"/>
      <c r="AB87" s="19"/>
      <c r="AC87" s="20"/>
      <c r="AD87" s="21"/>
      <c r="AE87" s="20"/>
      <c r="AF87" s="20"/>
      <c r="AG87" s="20"/>
      <c r="AH87" s="20"/>
      <c r="AI87" s="20"/>
      <c r="AJ87" s="20"/>
      <c r="AK87" s="23"/>
      <c r="AL87" s="23"/>
      <c r="AM87" s="111"/>
      <c r="AN87" s="114"/>
      <c r="AO87" s="114"/>
      <c r="AP87" s="114"/>
      <c r="AQ87" s="114"/>
      <c r="AR87" s="114"/>
      <c r="AS87" s="114"/>
      <c r="AT87" s="23"/>
      <c r="AU87" s="23"/>
      <c r="AV87" s="23"/>
      <c r="AW87" s="23"/>
      <c r="AX87" s="23"/>
      <c r="AY87" s="23"/>
      <c r="AZ87" s="23"/>
      <c r="BA87" s="23"/>
    </row>
    <row r="88" spans="1:53" s="105" customFormat="1" ht="14" x14ac:dyDescent="0.15">
      <c r="A88" s="35"/>
      <c r="B88" s="34"/>
      <c r="C88" s="34"/>
      <c r="D88" s="110"/>
      <c r="E88" s="34"/>
      <c r="F88" s="34"/>
      <c r="G88" s="94"/>
      <c r="H88" s="37"/>
      <c r="I88" s="37"/>
      <c r="J88" s="37"/>
      <c r="K88" s="16"/>
      <c r="L88" s="28"/>
      <c r="M88" s="17"/>
      <c r="N88" s="17"/>
      <c r="O88" s="17"/>
      <c r="P88" s="17"/>
      <c r="Q88" s="17"/>
      <c r="R88" s="28"/>
      <c r="S88" s="28"/>
      <c r="T88" s="17"/>
      <c r="U88" s="17"/>
      <c r="V88" s="28"/>
      <c r="W88" s="17"/>
      <c r="X88" s="17"/>
      <c r="Y88" s="36"/>
      <c r="Z88" s="18"/>
      <c r="AA88" s="36"/>
      <c r="AB88" s="19"/>
      <c r="AC88" s="20"/>
      <c r="AD88" s="21"/>
      <c r="AE88" s="20"/>
      <c r="AF88" s="20"/>
      <c r="AG88" s="20"/>
      <c r="AH88" s="20"/>
      <c r="AI88" s="20"/>
      <c r="AJ88" s="20"/>
      <c r="AK88" s="23"/>
      <c r="AL88" s="23"/>
      <c r="AM88" s="111"/>
      <c r="AN88" s="114"/>
      <c r="AO88" s="114"/>
      <c r="AP88" s="114"/>
      <c r="AQ88" s="114"/>
      <c r="AR88" s="114"/>
      <c r="AS88" s="114"/>
      <c r="AT88" s="23"/>
      <c r="AU88" s="23"/>
      <c r="AV88" s="23"/>
      <c r="AW88" s="23"/>
      <c r="AX88" s="23"/>
      <c r="AY88" s="23"/>
      <c r="AZ88" s="23"/>
      <c r="BA88" s="23"/>
    </row>
    <row r="89" spans="1:53" s="105" customFormat="1" ht="14" x14ac:dyDescent="0.15">
      <c r="A89" s="35"/>
      <c r="B89" s="34"/>
      <c r="C89" s="34"/>
      <c r="D89" s="110"/>
      <c r="E89" s="34"/>
      <c r="F89" s="34"/>
      <c r="G89" s="94"/>
      <c r="H89" s="37"/>
      <c r="I89" s="37"/>
      <c r="J89" s="37"/>
      <c r="K89" s="16"/>
      <c r="L89" s="28"/>
      <c r="M89" s="17"/>
      <c r="N89" s="17"/>
      <c r="O89" s="17"/>
      <c r="P89" s="17"/>
      <c r="Q89" s="17"/>
      <c r="R89" s="28"/>
      <c r="S89" s="28"/>
      <c r="T89" s="17"/>
      <c r="U89" s="17"/>
      <c r="V89" s="28"/>
      <c r="W89" s="17"/>
      <c r="X89" s="17"/>
      <c r="Y89" s="36"/>
      <c r="Z89" s="18"/>
      <c r="AA89" s="36"/>
      <c r="AB89" s="19"/>
      <c r="AC89" s="20"/>
      <c r="AD89" s="21"/>
      <c r="AE89" s="20"/>
      <c r="AF89" s="20"/>
      <c r="AG89" s="20"/>
      <c r="AH89" s="20"/>
      <c r="AI89" s="20"/>
      <c r="AJ89" s="20"/>
      <c r="AK89" s="23"/>
      <c r="AL89" s="23"/>
      <c r="AM89" s="111"/>
      <c r="AN89" s="114"/>
      <c r="AO89" s="114"/>
      <c r="AP89" s="114"/>
      <c r="AQ89" s="114"/>
      <c r="AR89" s="114"/>
      <c r="AS89" s="114"/>
      <c r="AT89" s="23"/>
      <c r="AU89" s="23"/>
      <c r="AV89" s="23"/>
      <c r="AW89" s="23"/>
      <c r="AX89" s="23"/>
      <c r="AY89" s="23"/>
      <c r="AZ89" s="23"/>
      <c r="BA89" s="23"/>
    </row>
    <row r="90" spans="1:53" s="105" customFormat="1" ht="14" x14ac:dyDescent="0.15">
      <c r="A90" s="35"/>
      <c r="B90" s="34"/>
      <c r="C90" s="34"/>
      <c r="D90" s="110"/>
      <c r="E90" s="34"/>
      <c r="F90" s="34"/>
      <c r="G90" s="94"/>
      <c r="H90" s="37"/>
      <c r="I90" s="37"/>
      <c r="J90" s="37"/>
      <c r="K90" s="16"/>
      <c r="L90" s="28"/>
      <c r="M90" s="17"/>
      <c r="N90" s="17"/>
      <c r="O90" s="17"/>
      <c r="P90" s="17"/>
      <c r="Q90" s="17"/>
      <c r="R90" s="28"/>
      <c r="S90" s="28"/>
      <c r="T90" s="17"/>
      <c r="U90" s="17"/>
      <c r="V90" s="28"/>
      <c r="W90" s="17"/>
      <c r="X90" s="17"/>
      <c r="Y90" s="36"/>
      <c r="Z90" s="18"/>
      <c r="AA90" s="36"/>
      <c r="AB90" s="19"/>
      <c r="AC90" s="20"/>
      <c r="AD90" s="21"/>
      <c r="AE90" s="20"/>
      <c r="AF90" s="20"/>
      <c r="AG90" s="20"/>
      <c r="AH90" s="20"/>
      <c r="AI90" s="20"/>
      <c r="AJ90" s="20"/>
      <c r="AK90" s="23"/>
      <c r="AL90" s="23"/>
      <c r="AM90" s="111"/>
      <c r="AN90" s="114"/>
      <c r="AO90" s="114"/>
      <c r="AP90" s="114"/>
      <c r="AQ90" s="114"/>
      <c r="AR90" s="114"/>
      <c r="AS90" s="114"/>
      <c r="AT90" s="23"/>
      <c r="AU90" s="23"/>
      <c r="AV90" s="23"/>
      <c r="AW90" s="23"/>
      <c r="AX90" s="23"/>
      <c r="AY90" s="23"/>
      <c r="AZ90" s="23"/>
      <c r="BA90" s="23"/>
    </row>
    <row r="91" spans="1:53" s="105" customFormat="1" ht="14" x14ac:dyDescent="0.15">
      <c r="A91" s="35"/>
      <c r="B91" s="34"/>
      <c r="C91" s="34"/>
      <c r="D91" s="110"/>
      <c r="E91" s="34"/>
      <c r="F91" s="34"/>
      <c r="G91" s="94"/>
      <c r="H91" s="37"/>
      <c r="I91" s="37"/>
      <c r="J91" s="37"/>
      <c r="K91" s="16"/>
      <c r="L91" s="28"/>
      <c r="M91" s="17"/>
      <c r="N91" s="17"/>
      <c r="O91" s="17"/>
      <c r="P91" s="17"/>
      <c r="Q91" s="17"/>
      <c r="R91" s="28"/>
      <c r="S91" s="28"/>
      <c r="T91" s="17"/>
      <c r="U91" s="17"/>
      <c r="V91" s="28"/>
      <c r="W91" s="17"/>
      <c r="X91" s="17"/>
      <c r="Y91" s="36"/>
      <c r="Z91" s="18"/>
      <c r="AA91" s="36"/>
      <c r="AB91" s="19"/>
      <c r="AC91" s="20"/>
      <c r="AD91" s="21"/>
      <c r="AE91" s="20"/>
      <c r="AF91" s="20"/>
      <c r="AG91" s="20"/>
      <c r="AH91" s="20"/>
      <c r="AI91" s="20"/>
      <c r="AJ91" s="20"/>
      <c r="AK91" s="23"/>
      <c r="AL91" s="23"/>
      <c r="AM91" s="111"/>
      <c r="AN91" s="114"/>
      <c r="AO91" s="114"/>
      <c r="AP91" s="114"/>
      <c r="AQ91" s="114"/>
      <c r="AR91" s="114"/>
      <c r="AS91" s="114"/>
      <c r="AT91" s="23"/>
      <c r="AU91" s="23"/>
      <c r="AV91" s="23"/>
      <c r="AW91" s="23"/>
      <c r="AX91" s="23"/>
      <c r="AY91" s="23"/>
      <c r="AZ91" s="23"/>
      <c r="BA91" s="23"/>
    </row>
    <row r="92" spans="1:53" s="105" customFormat="1" ht="14" x14ac:dyDescent="0.15">
      <c r="A92" s="35"/>
      <c r="B92" s="34"/>
      <c r="C92" s="34"/>
      <c r="D92" s="110"/>
      <c r="E92" s="34"/>
      <c r="F92" s="34"/>
      <c r="G92" s="94"/>
      <c r="H92" s="37"/>
      <c r="I92" s="37"/>
      <c r="J92" s="37"/>
      <c r="K92" s="16"/>
      <c r="L92" s="28"/>
      <c r="M92" s="17"/>
      <c r="N92" s="17"/>
      <c r="O92" s="17"/>
      <c r="P92" s="17"/>
      <c r="Q92" s="17"/>
      <c r="R92" s="28"/>
      <c r="S92" s="28"/>
      <c r="T92" s="17"/>
      <c r="U92" s="17"/>
      <c r="V92" s="28"/>
      <c r="W92" s="17"/>
      <c r="X92" s="17"/>
      <c r="Y92" s="36"/>
      <c r="Z92" s="18"/>
      <c r="AA92" s="36"/>
      <c r="AB92" s="19"/>
      <c r="AC92" s="20"/>
      <c r="AD92" s="21"/>
      <c r="AE92" s="20"/>
      <c r="AF92" s="20"/>
      <c r="AG92" s="20"/>
      <c r="AH92" s="20"/>
      <c r="AI92" s="20"/>
      <c r="AJ92" s="20"/>
      <c r="AK92" s="23"/>
      <c r="AL92" s="23"/>
      <c r="AM92" s="111"/>
      <c r="AN92" s="114"/>
      <c r="AO92" s="114"/>
      <c r="AP92" s="114"/>
      <c r="AQ92" s="114"/>
      <c r="AR92" s="114"/>
      <c r="AS92" s="114"/>
      <c r="AT92" s="23"/>
      <c r="AU92" s="23"/>
      <c r="AV92" s="23"/>
      <c r="AW92" s="23"/>
      <c r="AX92" s="23"/>
      <c r="AY92" s="23"/>
      <c r="AZ92" s="23"/>
      <c r="BA92" s="23"/>
    </row>
    <row r="93" spans="1:53" s="105" customFormat="1" ht="14" x14ac:dyDescent="0.15">
      <c r="A93" s="35"/>
      <c r="B93" s="34"/>
      <c r="C93" s="34"/>
      <c r="D93" s="110"/>
      <c r="E93" s="34"/>
      <c r="F93" s="34"/>
      <c r="G93" s="94"/>
      <c r="H93" s="37"/>
      <c r="I93" s="37"/>
      <c r="J93" s="37"/>
      <c r="K93" s="16"/>
      <c r="L93" s="28"/>
      <c r="M93" s="17"/>
      <c r="N93" s="17"/>
      <c r="O93" s="17"/>
      <c r="P93" s="17"/>
      <c r="Q93" s="17"/>
      <c r="R93" s="28"/>
      <c r="S93" s="28"/>
      <c r="T93" s="17"/>
      <c r="U93" s="17"/>
      <c r="V93" s="28"/>
      <c r="W93" s="17"/>
      <c r="X93" s="17"/>
      <c r="Y93" s="36"/>
      <c r="Z93" s="18"/>
      <c r="AA93" s="36"/>
      <c r="AB93" s="19"/>
      <c r="AC93" s="20"/>
      <c r="AD93" s="21"/>
      <c r="AE93" s="20"/>
      <c r="AF93" s="20"/>
      <c r="AG93" s="20"/>
      <c r="AH93" s="20"/>
      <c r="AI93" s="20"/>
      <c r="AJ93" s="20"/>
      <c r="AK93" s="23"/>
      <c r="AL93" s="23"/>
      <c r="AM93" s="111"/>
      <c r="AN93" s="114"/>
      <c r="AO93" s="114"/>
      <c r="AP93" s="114"/>
      <c r="AQ93" s="114"/>
      <c r="AR93" s="114"/>
      <c r="AS93" s="114"/>
      <c r="AT93" s="23"/>
      <c r="AU93" s="23"/>
      <c r="AV93" s="23"/>
      <c r="AW93" s="23"/>
      <c r="AX93" s="23"/>
      <c r="AY93" s="23"/>
      <c r="AZ93" s="23"/>
      <c r="BA93" s="23"/>
    </row>
    <row r="94" spans="1:53" s="105" customFormat="1" ht="14" x14ac:dyDescent="0.15">
      <c r="A94" s="35"/>
      <c r="B94" s="34"/>
      <c r="C94" s="34"/>
      <c r="D94" s="110"/>
      <c r="E94" s="34"/>
      <c r="F94" s="34"/>
      <c r="G94" s="94"/>
      <c r="H94" s="37"/>
      <c r="I94" s="37"/>
      <c r="J94" s="37"/>
      <c r="K94" s="16"/>
      <c r="L94" s="28"/>
      <c r="M94" s="17"/>
      <c r="N94" s="17"/>
      <c r="O94" s="17"/>
      <c r="P94" s="17"/>
      <c r="Q94" s="17"/>
      <c r="R94" s="28"/>
      <c r="S94" s="28"/>
      <c r="T94" s="17"/>
      <c r="U94" s="17"/>
      <c r="V94" s="28"/>
      <c r="W94" s="17"/>
      <c r="X94" s="17"/>
      <c r="Y94" s="36"/>
      <c r="Z94" s="18"/>
      <c r="AA94" s="36"/>
      <c r="AB94" s="19"/>
      <c r="AC94" s="20"/>
      <c r="AD94" s="21"/>
      <c r="AE94" s="20"/>
      <c r="AF94" s="20"/>
      <c r="AG94" s="20"/>
      <c r="AH94" s="20"/>
      <c r="AI94" s="20"/>
      <c r="AJ94" s="20"/>
      <c r="AK94" s="23"/>
      <c r="AL94" s="23"/>
      <c r="AM94" s="111"/>
      <c r="AN94" s="114"/>
      <c r="AO94" s="114"/>
      <c r="AP94" s="114"/>
      <c r="AQ94" s="114"/>
      <c r="AR94" s="114"/>
      <c r="AS94" s="114"/>
      <c r="AT94" s="23"/>
      <c r="AU94" s="23"/>
      <c r="AV94" s="23"/>
      <c r="AW94" s="23"/>
      <c r="AX94" s="23"/>
      <c r="AY94" s="23"/>
      <c r="AZ94" s="23"/>
      <c r="BA94" s="23"/>
    </row>
    <row r="95" spans="1:53" s="105" customFormat="1" ht="14" x14ac:dyDescent="0.15">
      <c r="A95" s="35"/>
      <c r="B95" s="34"/>
      <c r="C95" s="34"/>
      <c r="D95" s="110"/>
      <c r="E95" s="34"/>
      <c r="F95" s="34"/>
      <c r="G95" s="94"/>
      <c r="H95" s="37"/>
      <c r="I95" s="37"/>
      <c r="J95" s="37"/>
      <c r="K95" s="16"/>
      <c r="L95" s="28"/>
      <c r="M95" s="17"/>
      <c r="N95" s="17"/>
      <c r="O95" s="17"/>
      <c r="P95" s="17"/>
      <c r="Q95" s="17"/>
      <c r="R95" s="28"/>
      <c r="S95" s="28"/>
      <c r="T95" s="17"/>
      <c r="U95" s="17"/>
      <c r="V95" s="28"/>
      <c r="W95" s="17"/>
      <c r="X95" s="17"/>
      <c r="Y95" s="36"/>
      <c r="Z95" s="18"/>
      <c r="AA95" s="36"/>
      <c r="AB95" s="19"/>
      <c r="AC95" s="20"/>
      <c r="AD95" s="21"/>
      <c r="AE95" s="20"/>
      <c r="AF95" s="20"/>
      <c r="AG95" s="20"/>
      <c r="AH95" s="20"/>
      <c r="AI95" s="20"/>
      <c r="AJ95" s="20"/>
      <c r="AK95" s="23"/>
      <c r="AL95" s="23"/>
      <c r="AM95" s="111"/>
      <c r="AN95" s="114"/>
      <c r="AO95" s="114"/>
      <c r="AP95" s="114"/>
      <c r="AQ95" s="114"/>
      <c r="AR95" s="114"/>
      <c r="AS95" s="114"/>
      <c r="AT95" s="23"/>
      <c r="AU95" s="23"/>
      <c r="AV95" s="23"/>
      <c r="AW95" s="23"/>
      <c r="AX95" s="23"/>
      <c r="AY95" s="23"/>
      <c r="AZ95" s="23"/>
      <c r="BA95" s="23"/>
    </row>
    <row r="96" spans="1:53" s="105" customFormat="1" ht="14" x14ac:dyDescent="0.15">
      <c r="A96" s="35"/>
      <c r="B96" s="34"/>
      <c r="C96" s="34"/>
      <c r="D96" s="110"/>
      <c r="E96" s="34"/>
      <c r="F96" s="34"/>
      <c r="G96" s="94"/>
      <c r="H96" s="37"/>
      <c r="I96" s="37"/>
      <c r="J96" s="37"/>
      <c r="K96" s="16"/>
      <c r="L96" s="28"/>
      <c r="M96" s="17"/>
      <c r="N96" s="17"/>
      <c r="O96" s="17"/>
      <c r="P96" s="17"/>
      <c r="Q96" s="17"/>
      <c r="R96" s="28"/>
      <c r="S96" s="28"/>
      <c r="T96" s="17"/>
      <c r="U96" s="17"/>
      <c r="V96" s="28"/>
      <c r="W96" s="17"/>
      <c r="X96" s="17"/>
      <c r="Y96" s="36"/>
      <c r="Z96" s="18"/>
      <c r="AA96" s="36"/>
      <c r="AB96" s="19"/>
      <c r="AC96" s="20"/>
      <c r="AD96" s="21"/>
      <c r="AE96" s="20"/>
      <c r="AF96" s="20"/>
      <c r="AG96" s="20"/>
      <c r="AH96" s="20"/>
      <c r="AI96" s="20"/>
      <c r="AJ96" s="20"/>
      <c r="AK96" s="23"/>
      <c r="AL96" s="23"/>
      <c r="AM96" s="111"/>
      <c r="AN96" s="114"/>
      <c r="AO96" s="114"/>
      <c r="AP96" s="114"/>
      <c r="AQ96" s="114"/>
      <c r="AR96" s="114"/>
      <c r="AS96" s="114"/>
      <c r="AT96" s="23"/>
      <c r="AU96" s="23"/>
      <c r="AV96" s="23"/>
      <c r="AW96" s="23"/>
      <c r="AX96" s="23"/>
      <c r="AY96" s="23"/>
      <c r="AZ96" s="23"/>
      <c r="BA96" s="23"/>
    </row>
    <row r="97" spans="1:53" s="105" customFormat="1" ht="14" x14ac:dyDescent="0.15">
      <c r="A97" s="35"/>
      <c r="B97" s="34"/>
      <c r="C97" s="34"/>
      <c r="D97" s="110"/>
      <c r="E97" s="34"/>
      <c r="F97" s="34"/>
      <c r="G97" s="94"/>
      <c r="H97" s="37"/>
      <c r="I97" s="37"/>
      <c r="J97" s="37"/>
      <c r="K97" s="16"/>
      <c r="L97" s="28"/>
      <c r="M97" s="17"/>
      <c r="N97" s="17"/>
      <c r="O97" s="17"/>
      <c r="P97" s="17"/>
      <c r="Q97" s="17"/>
      <c r="R97" s="28"/>
      <c r="S97" s="28"/>
      <c r="T97" s="17"/>
      <c r="U97" s="17"/>
      <c r="V97" s="28"/>
      <c r="W97" s="17"/>
      <c r="X97" s="17"/>
      <c r="Y97" s="36"/>
      <c r="Z97" s="18"/>
      <c r="AA97" s="36"/>
      <c r="AB97" s="19"/>
      <c r="AC97" s="20"/>
      <c r="AD97" s="21"/>
      <c r="AE97" s="20"/>
      <c r="AF97" s="20"/>
      <c r="AG97" s="20"/>
      <c r="AH97" s="20"/>
      <c r="AI97" s="20"/>
      <c r="AJ97" s="20"/>
      <c r="AK97" s="23"/>
      <c r="AL97" s="23"/>
      <c r="AM97" s="111"/>
      <c r="AN97" s="114"/>
      <c r="AO97" s="114"/>
      <c r="AP97" s="114"/>
      <c r="AQ97" s="114"/>
      <c r="AR97" s="114"/>
      <c r="AS97" s="114"/>
      <c r="AT97" s="23"/>
      <c r="AU97" s="23"/>
      <c r="AV97" s="23"/>
      <c r="AW97" s="23"/>
      <c r="AX97" s="23"/>
      <c r="AY97" s="23"/>
      <c r="AZ97" s="23"/>
      <c r="BA97" s="23"/>
    </row>
    <row r="98" spans="1:53" s="105" customFormat="1" ht="14" x14ac:dyDescent="0.15">
      <c r="A98" s="35"/>
      <c r="B98" s="34"/>
      <c r="C98" s="34"/>
      <c r="D98" s="110"/>
      <c r="E98" s="34"/>
      <c r="F98" s="34"/>
      <c r="G98" s="94"/>
      <c r="H98" s="37"/>
      <c r="I98" s="37"/>
      <c r="J98" s="37"/>
      <c r="K98" s="16"/>
      <c r="L98" s="28"/>
      <c r="M98" s="17"/>
      <c r="N98" s="17"/>
      <c r="O98" s="17"/>
      <c r="P98" s="17"/>
      <c r="Q98" s="17"/>
      <c r="R98" s="28"/>
      <c r="S98" s="28"/>
      <c r="T98" s="17"/>
      <c r="U98" s="17"/>
      <c r="V98" s="28"/>
      <c r="W98" s="17"/>
      <c r="X98" s="17"/>
      <c r="Y98" s="36"/>
      <c r="Z98" s="18"/>
      <c r="AA98" s="36"/>
      <c r="AB98" s="19"/>
      <c r="AC98" s="20"/>
      <c r="AD98" s="21"/>
      <c r="AE98" s="20"/>
      <c r="AF98" s="20"/>
      <c r="AG98" s="20"/>
      <c r="AH98" s="20"/>
      <c r="AI98" s="20"/>
      <c r="AJ98" s="20"/>
      <c r="AK98" s="23"/>
      <c r="AL98" s="23"/>
      <c r="AM98" s="111"/>
      <c r="AN98" s="114"/>
      <c r="AO98" s="114"/>
      <c r="AP98" s="114"/>
      <c r="AQ98" s="114"/>
      <c r="AR98" s="114"/>
      <c r="AS98" s="114"/>
      <c r="AT98" s="23"/>
      <c r="AU98" s="23"/>
      <c r="AV98" s="23"/>
      <c r="AW98" s="23"/>
      <c r="AX98" s="23"/>
      <c r="AY98" s="23"/>
      <c r="AZ98" s="23"/>
      <c r="BA98" s="23"/>
    </row>
    <row r="99" spans="1:53" s="105" customFormat="1" ht="14" x14ac:dyDescent="0.15">
      <c r="A99" s="35"/>
      <c r="B99" s="34"/>
      <c r="C99" s="34"/>
      <c r="D99" s="110"/>
      <c r="E99" s="34"/>
      <c r="F99" s="34"/>
      <c r="G99" s="94"/>
      <c r="H99" s="37"/>
      <c r="I99" s="37"/>
      <c r="J99" s="37"/>
      <c r="K99" s="16"/>
      <c r="L99" s="28"/>
      <c r="M99" s="17"/>
      <c r="N99" s="17"/>
      <c r="O99" s="17"/>
      <c r="P99" s="17"/>
      <c r="Q99" s="17"/>
      <c r="R99" s="28"/>
      <c r="S99" s="28"/>
      <c r="T99" s="17"/>
      <c r="U99" s="17"/>
      <c r="V99" s="28"/>
      <c r="W99" s="17"/>
      <c r="X99" s="17"/>
      <c r="Y99" s="36"/>
      <c r="Z99" s="18"/>
      <c r="AA99" s="36"/>
      <c r="AB99" s="19"/>
      <c r="AC99" s="20"/>
      <c r="AD99" s="21"/>
      <c r="AE99" s="20"/>
      <c r="AF99" s="20"/>
      <c r="AG99" s="20"/>
      <c r="AH99" s="20"/>
      <c r="AI99" s="20"/>
      <c r="AJ99" s="20"/>
      <c r="AK99" s="23"/>
      <c r="AL99" s="23"/>
      <c r="AM99" s="111"/>
      <c r="AN99" s="114"/>
      <c r="AO99" s="114"/>
      <c r="AP99" s="114"/>
      <c r="AQ99" s="114"/>
      <c r="AR99" s="114"/>
      <c r="AS99" s="114"/>
      <c r="AT99" s="23"/>
      <c r="AU99" s="23"/>
      <c r="AV99" s="23"/>
      <c r="AW99" s="23"/>
      <c r="AX99" s="23"/>
      <c r="AY99" s="23"/>
      <c r="AZ99" s="23"/>
      <c r="BA99" s="23"/>
    </row>
    <row r="100" spans="1:53" s="105" customFormat="1" ht="14" x14ac:dyDescent="0.15">
      <c r="A100" s="35"/>
      <c r="B100" s="34"/>
      <c r="C100" s="34"/>
      <c r="D100" s="110"/>
      <c r="E100" s="34"/>
      <c r="F100" s="34"/>
      <c r="G100" s="94"/>
      <c r="H100" s="37"/>
      <c r="I100" s="37"/>
      <c r="J100" s="37"/>
      <c r="K100" s="16"/>
      <c r="L100" s="28"/>
      <c r="M100" s="17"/>
      <c r="N100" s="17"/>
      <c r="O100" s="17"/>
      <c r="P100" s="17"/>
      <c r="Q100" s="17"/>
      <c r="R100" s="28"/>
      <c r="S100" s="28"/>
      <c r="T100" s="17"/>
      <c r="U100" s="17"/>
      <c r="V100" s="28"/>
      <c r="W100" s="17"/>
      <c r="X100" s="17"/>
      <c r="Y100" s="36"/>
      <c r="Z100" s="18"/>
      <c r="AA100" s="36"/>
      <c r="AB100" s="19"/>
      <c r="AC100" s="20"/>
      <c r="AD100" s="21"/>
      <c r="AE100" s="20"/>
      <c r="AF100" s="20"/>
      <c r="AG100" s="20"/>
      <c r="AH100" s="20"/>
      <c r="AI100" s="20"/>
      <c r="AJ100" s="20"/>
      <c r="AK100" s="23"/>
      <c r="AL100" s="23"/>
      <c r="AM100" s="111"/>
      <c r="AN100" s="114"/>
      <c r="AO100" s="114"/>
      <c r="AP100" s="114"/>
      <c r="AQ100" s="114"/>
      <c r="AR100" s="114"/>
      <c r="AS100" s="114"/>
      <c r="AT100" s="23"/>
      <c r="AU100" s="23"/>
      <c r="AV100" s="23"/>
      <c r="AW100" s="23"/>
      <c r="AX100" s="23"/>
      <c r="AY100" s="23"/>
      <c r="AZ100" s="23"/>
      <c r="BA100" s="23"/>
    </row>
  </sheetData>
  <mergeCells count="1">
    <mergeCell ref="D1:L2"/>
  </mergeCells>
  <phoneticPr fontId="18" type="noConversion"/>
  <conditionalFormatting sqref="D1 E4:F6 P7:R7">
    <cfRule type="expression" dxfId="29" priority="78">
      <formula>"If(blnBinNo=""True"")"</formula>
    </cfRule>
  </conditionalFormatting>
  <conditionalFormatting sqref="B2">
    <cfRule type="expression" dxfId="28" priority="51">
      <formula>"If(blnBinNo=""True"")"</formula>
    </cfRule>
  </conditionalFormatting>
  <conditionalFormatting sqref="S7:AI7 M7:N7">
    <cfRule type="expression" dxfId="27" priority="49">
      <formula>"If(blnBinNo=""True"")"</formula>
    </cfRule>
  </conditionalFormatting>
  <conditionalFormatting sqref="Y7:AI7">
    <cfRule type="dataBar" priority="50">
      <dataBar>
        <cfvo type="min"/>
        <cfvo type="max"/>
        <color theme="2" tint="-0.34998626667073579"/>
      </dataBar>
      <extLst>
        <ext xmlns:x14="http://schemas.microsoft.com/office/spreadsheetml/2009/9/main" uri="{B025F937-C7B1-47D3-B67F-A62EFF666E3E}">
          <x14:id>{C9E9F3CE-8552-4A2D-85CA-2489F5005DAE}</x14:id>
        </ext>
      </extLst>
    </cfRule>
  </conditionalFormatting>
  <conditionalFormatting sqref="AD7">
    <cfRule type="expression" dxfId="26" priority="47">
      <formula>"If(blnBinNo=""True"")"</formula>
    </cfRule>
  </conditionalFormatting>
  <conditionalFormatting sqref="AD7">
    <cfRule type="dataBar" priority="48">
      <dataBar>
        <cfvo type="min"/>
        <cfvo type="max"/>
        <color theme="2" tint="-0.34998626667073579"/>
      </dataBar>
      <extLst>
        <ext xmlns:x14="http://schemas.microsoft.com/office/spreadsheetml/2009/9/main" uri="{B025F937-C7B1-47D3-B67F-A62EFF666E3E}">
          <x14:id>{32BAE6B9-E31F-415C-BF38-B0300E2E07AC}</x14:id>
        </ext>
      </extLst>
    </cfRule>
  </conditionalFormatting>
  <conditionalFormatting sqref="AL7:AN7">
    <cfRule type="expression" dxfId="25" priority="33">
      <formula>"If(blnBinNo=""True"")"</formula>
    </cfRule>
  </conditionalFormatting>
  <conditionalFormatting sqref="AE7">
    <cfRule type="expression" dxfId="24" priority="45">
      <formula>"If(blnBinNo=""True"")"</formula>
    </cfRule>
  </conditionalFormatting>
  <conditionalFormatting sqref="AE7">
    <cfRule type="dataBar" priority="46">
      <dataBar>
        <cfvo type="min"/>
        <cfvo type="max"/>
        <color theme="2" tint="-0.34998626667073579"/>
      </dataBar>
      <extLst>
        <ext xmlns:x14="http://schemas.microsoft.com/office/spreadsheetml/2009/9/main" uri="{B025F937-C7B1-47D3-B67F-A62EFF666E3E}">
          <x14:id>{7895BC84-DB47-4027-9EAD-9102B97143B5}</x14:id>
        </ext>
      </extLst>
    </cfRule>
  </conditionalFormatting>
  <conditionalFormatting sqref="AF7:AG7">
    <cfRule type="expression" dxfId="23" priority="43">
      <formula>"If(blnBinNo=""True"")"</formula>
    </cfRule>
  </conditionalFormatting>
  <conditionalFormatting sqref="AF7:AG7">
    <cfRule type="dataBar" priority="44">
      <dataBar>
        <cfvo type="min"/>
        <cfvo type="max"/>
        <color theme="2" tint="-0.34998626667073579"/>
      </dataBar>
      <extLst>
        <ext xmlns:x14="http://schemas.microsoft.com/office/spreadsheetml/2009/9/main" uri="{B025F937-C7B1-47D3-B67F-A62EFF666E3E}">
          <x14:id>{8469E6F3-273B-4825-9167-ED467CF8828B}</x14:id>
        </ext>
      </extLst>
    </cfRule>
  </conditionalFormatting>
  <conditionalFormatting sqref="AH7">
    <cfRule type="expression" dxfId="22" priority="41">
      <formula>"If(blnBinNo=""True"")"</formula>
    </cfRule>
  </conditionalFormatting>
  <conditionalFormatting sqref="AH7">
    <cfRule type="dataBar" priority="42">
      <dataBar>
        <cfvo type="min"/>
        <cfvo type="max"/>
        <color theme="2" tint="-0.34998626667073579"/>
      </dataBar>
      <extLst>
        <ext xmlns:x14="http://schemas.microsoft.com/office/spreadsheetml/2009/9/main" uri="{B025F937-C7B1-47D3-B67F-A62EFF666E3E}">
          <x14:id>{D62411F4-B7C4-48E1-B6C5-F62FE9F691D9}</x14:id>
        </ext>
      </extLst>
    </cfRule>
  </conditionalFormatting>
  <conditionalFormatting sqref="AI7">
    <cfRule type="expression" dxfId="21" priority="39">
      <formula>"If(blnBinNo=""True"")"</formula>
    </cfRule>
  </conditionalFormatting>
  <conditionalFormatting sqref="AI7">
    <cfRule type="dataBar" priority="40">
      <dataBar>
        <cfvo type="min"/>
        <cfvo type="max"/>
        <color theme="2" tint="-0.34998626667073579"/>
      </dataBar>
      <extLst>
        <ext xmlns:x14="http://schemas.microsoft.com/office/spreadsheetml/2009/9/main" uri="{B025F937-C7B1-47D3-B67F-A62EFF666E3E}">
          <x14:id>{1C395F50-F112-4AED-8E17-726C9267466B}</x14:id>
        </ext>
      </extLst>
    </cfRule>
  </conditionalFormatting>
  <conditionalFormatting sqref="AJ7">
    <cfRule type="expression" dxfId="20" priority="37">
      <formula>"If(blnBinNo=""True"")"</formula>
    </cfRule>
  </conditionalFormatting>
  <conditionalFormatting sqref="AJ7">
    <cfRule type="dataBar" priority="38">
      <dataBar>
        <cfvo type="min"/>
        <cfvo type="max"/>
        <color theme="2" tint="-0.34998626667073579"/>
      </dataBar>
      <extLst>
        <ext xmlns:x14="http://schemas.microsoft.com/office/spreadsheetml/2009/9/main" uri="{B025F937-C7B1-47D3-B67F-A62EFF666E3E}">
          <x14:id>{06DF7D24-24DF-4A10-857F-EC7360F545E9}</x14:id>
        </ext>
      </extLst>
    </cfRule>
  </conditionalFormatting>
  <conditionalFormatting sqref="AK7">
    <cfRule type="expression" dxfId="19" priority="35">
      <formula>"If(blnBinNo=""True"")"</formula>
    </cfRule>
  </conditionalFormatting>
  <conditionalFormatting sqref="AK7">
    <cfRule type="dataBar" priority="36">
      <dataBar>
        <cfvo type="min"/>
        <cfvo type="max"/>
        <color theme="2" tint="-0.34998626667073579"/>
      </dataBar>
      <extLst>
        <ext xmlns:x14="http://schemas.microsoft.com/office/spreadsheetml/2009/9/main" uri="{B025F937-C7B1-47D3-B67F-A62EFF666E3E}">
          <x14:id>{AF7A1883-86BD-4F3E-BBD7-C4FAB7504295}</x14:id>
        </ext>
      </extLst>
    </cfRule>
  </conditionalFormatting>
  <conditionalFormatting sqref="AL7:AN7">
    <cfRule type="dataBar" priority="34">
      <dataBar>
        <cfvo type="min"/>
        <cfvo type="max"/>
        <color theme="2" tint="-0.34998626667073579"/>
      </dataBar>
      <extLst>
        <ext xmlns:x14="http://schemas.microsoft.com/office/spreadsheetml/2009/9/main" uri="{B025F937-C7B1-47D3-B67F-A62EFF666E3E}">
          <x14:id>{9755D203-D035-45FE-8730-27A9DBB7E2D0}</x14:id>
        </ext>
      </extLst>
    </cfRule>
  </conditionalFormatting>
  <conditionalFormatting sqref="C2">
    <cfRule type="expression" dxfId="18" priority="30">
      <formula>"If(blnBinNo=""True"")"</formula>
    </cfRule>
  </conditionalFormatting>
  <conditionalFormatting sqref="O7">
    <cfRule type="expression" dxfId="17" priority="28">
      <formula>"If(blnBinNo=""True"")"</formula>
    </cfRule>
  </conditionalFormatting>
  <conditionalFormatting sqref="B7:L7">
    <cfRule type="expression" dxfId="16" priority="27">
      <formula>"If(blnBinNo=""True"")"</formula>
    </cfRule>
  </conditionalFormatting>
  <conditionalFormatting sqref="A7">
    <cfRule type="expression" dxfId="15" priority="24">
      <formula>"If(blnBinNo=""True"")"</formula>
    </cfRule>
  </conditionalFormatting>
  <conditionalFormatting sqref="A8:A100">
    <cfRule type="expression" dxfId="14" priority="1">
      <formula>"If(blnBinNo=""True"")"</formula>
    </cfRule>
  </conditionalFormatting>
  <conditionalFormatting sqref="P8:R100">
    <cfRule type="expression" dxfId="13" priority="22">
      <formula>"If(blnBinNo=""True"")"</formula>
    </cfRule>
  </conditionalFormatting>
  <conditionalFormatting sqref="S8:AI100 M8:N100">
    <cfRule type="expression" dxfId="12" priority="20">
      <formula>"If(blnBinNo=""True"")"</formula>
    </cfRule>
  </conditionalFormatting>
  <conditionalFormatting sqref="AD8:AD100">
    <cfRule type="expression" dxfId="11" priority="18">
      <formula>"If(blnBinNo=""True"")"</formula>
    </cfRule>
  </conditionalFormatting>
  <conditionalFormatting sqref="AL8:AN100">
    <cfRule type="expression" dxfId="10" priority="4">
      <formula>"If(blnBinNo=""True"")"</formula>
    </cfRule>
  </conditionalFormatting>
  <conditionalFormatting sqref="AE8:AE100">
    <cfRule type="expression" dxfId="9" priority="16">
      <formula>"If(blnBinNo=""True"")"</formula>
    </cfRule>
  </conditionalFormatting>
  <conditionalFormatting sqref="AF8:AG100">
    <cfRule type="expression" dxfId="8" priority="14">
      <formula>"If(blnBinNo=""True"")"</formula>
    </cfRule>
  </conditionalFormatting>
  <conditionalFormatting sqref="AH8:AH100">
    <cfRule type="expression" dxfId="7" priority="12">
      <formula>"If(blnBinNo=""True"")"</formula>
    </cfRule>
  </conditionalFormatting>
  <conditionalFormatting sqref="AI8:AI100">
    <cfRule type="expression" dxfId="6" priority="10">
      <formula>"If(blnBinNo=""True"")"</formula>
    </cfRule>
  </conditionalFormatting>
  <conditionalFormatting sqref="AJ8:AJ100">
    <cfRule type="expression" dxfId="5" priority="8">
      <formula>"If(blnBinNo=""True"")"</formula>
    </cfRule>
  </conditionalFormatting>
  <conditionalFormatting sqref="AK8:AK100">
    <cfRule type="expression" dxfId="4" priority="6">
      <formula>"If(blnBinNo=""True"")"</formula>
    </cfRule>
  </conditionalFormatting>
  <conditionalFormatting sqref="O8:O100">
    <cfRule type="expression" dxfId="3" priority="3">
      <formula>"If(blnBinNo=""True"")"</formula>
    </cfRule>
  </conditionalFormatting>
  <conditionalFormatting sqref="B8:L100">
    <cfRule type="expression" dxfId="2" priority="2">
      <formula>"If(blnBinNo=""True"")"</formula>
    </cfRule>
  </conditionalFormatting>
  <conditionalFormatting sqref="Y8:AI100">
    <cfRule type="dataBar" priority="105">
      <dataBar>
        <cfvo type="min"/>
        <cfvo type="max"/>
        <color theme="2" tint="-0.34998626667073579"/>
      </dataBar>
      <extLst>
        <ext xmlns:x14="http://schemas.microsoft.com/office/spreadsheetml/2009/9/main" uri="{B025F937-C7B1-47D3-B67F-A62EFF666E3E}">
          <x14:id>{CAF1C3F8-0BB6-4D84-8AF3-9E13C5266A1A}</x14:id>
        </ext>
      </extLst>
    </cfRule>
  </conditionalFormatting>
  <conditionalFormatting sqref="AD8:AD100">
    <cfRule type="dataBar" priority="106">
      <dataBar>
        <cfvo type="min"/>
        <cfvo type="max"/>
        <color theme="2" tint="-0.34998626667073579"/>
      </dataBar>
      <extLst>
        <ext xmlns:x14="http://schemas.microsoft.com/office/spreadsheetml/2009/9/main" uri="{B025F937-C7B1-47D3-B67F-A62EFF666E3E}">
          <x14:id>{EBBF6494-68FA-4664-B28D-A11854753CBE}</x14:id>
        </ext>
      </extLst>
    </cfRule>
  </conditionalFormatting>
  <conditionalFormatting sqref="AE8:AE100">
    <cfRule type="dataBar" priority="107">
      <dataBar>
        <cfvo type="min"/>
        <cfvo type="max"/>
        <color theme="2" tint="-0.34998626667073579"/>
      </dataBar>
      <extLst>
        <ext xmlns:x14="http://schemas.microsoft.com/office/spreadsheetml/2009/9/main" uri="{B025F937-C7B1-47D3-B67F-A62EFF666E3E}">
          <x14:id>{6E41DF43-D94B-4F56-902F-2AACC6E3C6EF}</x14:id>
        </ext>
      </extLst>
    </cfRule>
  </conditionalFormatting>
  <conditionalFormatting sqref="AF8:AG100">
    <cfRule type="dataBar" priority="108">
      <dataBar>
        <cfvo type="min"/>
        <cfvo type="max"/>
        <color theme="2" tint="-0.34998626667073579"/>
      </dataBar>
      <extLst>
        <ext xmlns:x14="http://schemas.microsoft.com/office/spreadsheetml/2009/9/main" uri="{B025F937-C7B1-47D3-B67F-A62EFF666E3E}">
          <x14:id>{DFDB46CF-53E1-42DE-B232-C501D3459269}</x14:id>
        </ext>
      </extLst>
    </cfRule>
  </conditionalFormatting>
  <conditionalFormatting sqref="AH8:AH100">
    <cfRule type="dataBar" priority="109">
      <dataBar>
        <cfvo type="min"/>
        <cfvo type="max"/>
        <color theme="2" tint="-0.34998626667073579"/>
      </dataBar>
      <extLst>
        <ext xmlns:x14="http://schemas.microsoft.com/office/spreadsheetml/2009/9/main" uri="{B025F937-C7B1-47D3-B67F-A62EFF666E3E}">
          <x14:id>{7026F606-1DDB-4E9C-A67C-899953DD31DC}</x14:id>
        </ext>
      </extLst>
    </cfRule>
  </conditionalFormatting>
  <conditionalFormatting sqref="AI8:AI100">
    <cfRule type="dataBar" priority="110">
      <dataBar>
        <cfvo type="min"/>
        <cfvo type="max"/>
        <color theme="2" tint="-0.34998626667073579"/>
      </dataBar>
      <extLst>
        <ext xmlns:x14="http://schemas.microsoft.com/office/spreadsheetml/2009/9/main" uri="{B025F937-C7B1-47D3-B67F-A62EFF666E3E}">
          <x14:id>{0B3C2BD7-D716-40E3-A967-67F0E7682910}</x14:id>
        </ext>
      </extLst>
    </cfRule>
  </conditionalFormatting>
  <conditionalFormatting sqref="AJ8:AJ100">
    <cfRule type="dataBar" priority="111">
      <dataBar>
        <cfvo type="min"/>
        <cfvo type="max"/>
        <color theme="2" tint="-0.34998626667073579"/>
      </dataBar>
      <extLst>
        <ext xmlns:x14="http://schemas.microsoft.com/office/spreadsheetml/2009/9/main" uri="{B025F937-C7B1-47D3-B67F-A62EFF666E3E}">
          <x14:id>{DE1050C5-3AD0-4EAC-9A75-FA7A7F00B55F}</x14:id>
        </ext>
      </extLst>
    </cfRule>
  </conditionalFormatting>
  <conditionalFormatting sqref="AK8:AK100">
    <cfRule type="dataBar" priority="112">
      <dataBar>
        <cfvo type="min"/>
        <cfvo type="max"/>
        <color theme="2" tint="-0.34998626667073579"/>
      </dataBar>
      <extLst>
        <ext xmlns:x14="http://schemas.microsoft.com/office/spreadsheetml/2009/9/main" uri="{B025F937-C7B1-47D3-B67F-A62EFF666E3E}">
          <x14:id>{C0CF7283-F690-4E1A-A232-5CD7B20D6FE7}</x14:id>
        </ext>
      </extLst>
    </cfRule>
  </conditionalFormatting>
  <conditionalFormatting sqref="AL8:AN100">
    <cfRule type="dataBar" priority="113">
      <dataBar>
        <cfvo type="min"/>
        <cfvo type="max"/>
        <color theme="2" tint="-0.34998626667073579"/>
      </dataBar>
      <extLst>
        <ext xmlns:x14="http://schemas.microsoft.com/office/spreadsheetml/2009/9/main" uri="{B025F937-C7B1-47D3-B67F-A62EFF666E3E}">
          <x14:id>{EA52B864-D138-4792-8F1D-43027CA9A6EF}</x14:id>
        </ext>
      </extLst>
    </cfRule>
  </conditionalFormatting>
  <dataValidations count="17">
    <dataValidation allowBlank="1" showInputMessage="1" showErrorMessage="1" prompt="Automatically calculated total inventory value" sqref="A5"/>
    <dataValidation allowBlank="1" showInputMessage="1" showErrorMessage="1" prompt="Automatically calculated number of inventory items based on their description" sqref="B5:C5"/>
    <dataValidation allowBlank="1" showInputMessage="1" showErrorMessage="1" prompt="Navigational link to Inventory Pick List worksheet" sqref="G4"/>
    <dataValidation type="list" allowBlank="1" showInputMessage="1" showErrorMessage="1" sqref="AW7:AW100">
      <formula1>INDIRECT("计量等级")</formula1>
    </dataValidation>
    <dataValidation type="list" allowBlank="1" showInputMessage="1" showErrorMessage="1" sqref="G7:G100">
      <formula1>OrgList</formula1>
    </dataValidation>
    <dataValidation type="list" allowBlank="1" showInputMessage="1" showErrorMessage="1" sqref="M7:M100">
      <formula1>功能分组</formula1>
    </dataValidation>
    <dataValidation type="list" allowBlank="1" showInputMessage="1" showErrorMessage="1" sqref="AA7:AA100">
      <formula1>"平均年限,加速双倍余额,加速年限,#"</formula1>
    </dataValidation>
    <dataValidation type="list" allowBlank="1" showInputMessage="1" showErrorMessage="1" sqref="P7:P100">
      <formula1>"1,2,3,#"</formula1>
    </dataValidation>
    <dataValidation type="list" allowBlank="1" showInputMessage="1" showErrorMessage="1" sqref="Q7:Q100">
      <formula1>"内修,外修,内外修可选,#"</formula1>
    </dataValidation>
    <dataValidation type="list" allowBlank="1" showInputMessage="1" showErrorMessage="1" sqref="AT7:AT100">
      <formula1>INDIRECT("用途分类")</formula1>
    </dataValidation>
    <dataValidation type="list" allowBlank="1" showInputMessage="1" showErrorMessage="1" sqref="AU7:AU100">
      <formula1>INDIRECT("资金来源")</formula1>
    </dataValidation>
    <dataValidation type="list" allowBlank="1" showInputMessage="1" showErrorMessage="1" sqref="AV7:AV100">
      <formula1>INDIRECT("风险等级")</formula1>
    </dataValidation>
    <dataValidation type="list" allowBlank="1" showInputMessage="1" showErrorMessage="1" sqref="AY7:AY100">
      <formula1>INDIRECT("是否急救设备")</formula1>
    </dataValidation>
    <dataValidation type="list" allowBlank="1" showInputMessage="1" showErrorMessage="1" sqref="AZ7:AZ100">
      <formula1>INDIRECT("是否进口设备")</formula1>
    </dataValidation>
    <dataValidation type="list" allowBlank="1" showInputMessage="1" showErrorMessage="1" sqref="AX7:AX100">
      <formula1>INDIRECT("计量项目类别")</formula1>
    </dataValidation>
    <dataValidation type="list" allowBlank="1" showInputMessage="1" showErrorMessage="1" sqref="BA7:BA100">
      <formula1>INDIRECT("当前状态")</formula1>
    </dataValidation>
    <dataValidation type="list" allowBlank="1" showInputMessage="1" showErrorMessage="1" sqref="N7:N100">
      <formula1>INDIRECT(_xlfn.CONCAT("_",SUBSTITUTE(SUBSTITUTE($M7,CHAR(40),"_",1),CHAR(41),"_",1)))</formula1>
    </dataValidation>
  </dataValidations>
  <printOptions horizontalCentered="1"/>
  <pageMargins left="0.25" right="0.25" top="0.75" bottom="0.75" header="0.3" footer="0.3"/>
  <pageSetup scale="66" fitToHeight="0" orientation="landscape" r:id="rId1"/>
  <headerFooter differentFirst="1">
    <oddFooter>Page &amp;P of &amp;N</oddFooter>
  </headerFooter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9E9F3CE-8552-4A2D-85CA-2489F5005DAE}">
            <x14:dataBar minLength="0" maxLength="100" negativeBarColorSameAsPositive="1" axisPosition="none">
              <x14:cfvo type="min"/>
              <x14:cfvo type="max"/>
            </x14:dataBar>
          </x14:cfRule>
          <xm:sqref>Y7:AI7</xm:sqref>
        </x14:conditionalFormatting>
        <x14:conditionalFormatting xmlns:xm="http://schemas.microsoft.com/office/excel/2006/main">
          <x14:cfRule type="dataBar" id="{32BAE6B9-E31F-415C-BF38-B0300E2E07AC}">
            <x14:dataBar minLength="0" maxLength="100" negativeBarColorSameAsPositive="1" axisPosition="none">
              <x14:cfvo type="min"/>
              <x14:cfvo type="max"/>
            </x14:dataBar>
          </x14:cfRule>
          <xm:sqref>AD7</xm:sqref>
        </x14:conditionalFormatting>
        <x14:conditionalFormatting xmlns:xm="http://schemas.microsoft.com/office/excel/2006/main">
          <x14:cfRule type="dataBar" id="{7895BC84-DB47-4027-9EAD-9102B97143B5}">
            <x14:dataBar minLength="0" maxLength="100" negativeBarColorSameAsPositive="1" axisPosition="none">
              <x14:cfvo type="min"/>
              <x14:cfvo type="max"/>
            </x14:dataBar>
          </x14:cfRule>
          <xm:sqref>AE7</xm:sqref>
        </x14:conditionalFormatting>
        <x14:conditionalFormatting xmlns:xm="http://schemas.microsoft.com/office/excel/2006/main">
          <x14:cfRule type="dataBar" id="{8469E6F3-273B-4825-9167-ED467CF8828B}">
            <x14:dataBar minLength="0" maxLength="100" negativeBarColorSameAsPositive="1" axisPosition="none">
              <x14:cfvo type="min"/>
              <x14:cfvo type="max"/>
            </x14:dataBar>
          </x14:cfRule>
          <xm:sqref>AF7:AG7</xm:sqref>
        </x14:conditionalFormatting>
        <x14:conditionalFormatting xmlns:xm="http://schemas.microsoft.com/office/excel/2006/main">
          <x14:cfRule type="dataBar" id="{D62411F4-B7C4-48E1-B6C5-F62FE9F691D9}">
            <x14:dataBar minLength="0" maxLength="100" negativeBarColorSameAsPositive="1" axisPosition="none">
              <x14:cfvo type="min"/>
              <x14:cfvo type="max"/>
            </x14:dataBar>
          </x14:cfRule>
          <xm:sqref>AH7</xm:sqref>
        </x14:conditionalFormatting>
        <x14:conditionalFormatting xmlns:xm="http://schemas.microsoft.com/office/excel/2006/main">
          <x14:cfRule type="dataBar" id="{1C395F50-F112-4AED-8E17-726C9267466B}">
            <x14:dataBar minLength="0" maxLength="100" negativeBarColorSameAsPositive="1" axisPosition="none">
              <x14:cfvo type="min"/>
              <x14:cfvo type="max"/>
            </x14:dataBar>
          </x14:cfRule>
          <xm:sqref>AI7</xm:sqref>
        </x14:conditionalFormatting>
        <x14:conditionalFormatting xmlns:xm="http://schemas.microsoft.com/office/excel/2006/main">
          <x14:cfRule type="dataBar" id="{06DF7D24-24DF-4A10-857F-EC7360F545E9}">
            <x14:dataBar minLength="0" maxLength="100" negativeBarColorSameAsPositive="1" axisPosition="none">
              <x14:cfvo type="min"/>
              <x14:cfvo type="max"/>
            </x14:dataBar>
          </x14:cfRule>
          <xm:sqref>AJ7</xm:sqref>
        </x14:conditionalFormatting>
        <x14:conditionalFormatting xmlns:xm="http://schemas.microsoft.com/office/excel/2006/main">
          <x14:cfRule type="dataBar" id="{AF7A1883-86BD-4F3E-BBD7-C4FAB7504295}">
            <x14:dataBar minLength="0" maxLength="100" negativeBarColorSameAsPositive="1" axisPosition="none">
              <x14:cfvo type="min"/>
              <x14:cfvo type="max"/>
            </x14:dataBar>
          </x14:cfRule>
          <xm:sqref>AK7</xm:sqref>
        </x14:conditionalFormatting>
        <x14:conditionalFormatting xmlns:xm="http://schemas.microsoft.com/office/excel/2006/main">
          <x14:cfRule type="dataBar" id="{9755D203-D035-45FE-8730-27A9DBB7E2D0}">
            <x14:dataBar minLength="0" maxLength="100" negativeBarColorSameAsPositive="1" axisPosition="none">
              <x14:cfvo type="min"/>
              <x14:cfvo type="max"/>
            </x14:dataBar>
          </x14:cfRule>
          <xm:sqref>AL7:AN7</xm:sqref>
        </x14:conditionalFormatting>
        <x14:conditionalFormatting xmlns:xm="http://schemas.microsoft.com/office/excel/2006/main">
          <x14:cfRule type="dataBar" id="{CAF1C3F8-0BB6-4D84-8AF3-9E13C5266A1A}">
            <x14:dataBar minLength="0" maxLength="100" negativeBarColorSameAsPositive="1" axisPosition="none">
              <x14:cfvo type="min"/>
              <x14:cfvo type="max"/>
            </x14:dataBar>
          </x14:cfRule>
          <xm:sqref>Y8:AI100</xm:sqref>
        </x14:conditionalFormatting>
        <x14:conditionalFormatting xmlns:xm="http://schemas.microsoft.com/office/excel/2006/main">
          <x14:cfRule type="dataBar" id="{EBBF6494-68FA-4664-B28D-A11854753CBE}">
            <x14:dataBar minLength="0" maxLength="100" negativeBarColorSameAsPositive="1" axisPosition="none">
              <x14:cfvo type="min"/>
              <x14:cfvo type="max"/>
            </x14:dataBar>
          </x14:cfRule>
          <xm:sqref>AD8:AD100</xm:sqref>
        </x14:conditionalFormatting>
        <x14:conditionalFormatting xmlns:xm="http://schemas.microsoft.com/office/excel/2006/main">
          <x14:cfRule type="dataBar" id="{6E41DF43-D94B-4F56-902F-2AACC6E3C6EF}">
            <x14:dataBar minLength="0" maxLength="100" negativeBarColorSameAsPositive="1" axisPosition="none">
              <x14:cfvo type="min"/>
              <x14:cfvo type="max"/>
            </x14:dataBar>
          </x14:cfRule>
          <xm:sqref>AE8:AE100</xm:sqref>
        </x14:conditionalFormatting>
        <x14:conditionalFormatting xmlns:xm="http://schemas.microsoft.com/office/excel/2006/main">
          <x14:cfRule type="dataBar" id="{DFDB46CF-53E1-42DE-B232-C501D3459269}">
            <x14:dataBar minLength="0" maxLength="100" negativeBarColorSameAsPositive="1" axisPosition="none">
              <x14:cfvo type="min"/>
              <x14:cfvo type="max"/>
            </x14:dataBar>
          </x14:cfRule>
          <xm:sqref>AF8:AG100</xm:sqref>
        </x14:conditionalFormatting>
        <x14:conditionalFormatting xmlns:xm="http://schemas.microsoft.com/office/excel/2006/main">
          <x14:cfRule type="dataBar" id="{7026F606-1DDB-4E9C-A67C-899953DD31DC}">
            <x14:dataBar minLength="0" maxLength="100" negativeBarColorSameAsPositive="1" axisPosition="none">
              <x14:cfvo type="min"/>
              <x14:cfvo type="max"/>
            </x14:dataBar>
          </x14:cfRule>
          <xm:sqref>AH8:AH100</xm:sqref>
        </x14:conditionalFormatting>
        <x14:conditionalFormatting xmlns:xm="http://schemas.microsoft.com/office/excel/2006/main">
          <x14:cfRule type="dataBar" id="{0B3C2BD7-D716-40E3-A967-67F0E7682910}">
            <x14:dataBar minLength="0" maxLength="100" negativeBarColorSameAsPositive="1" axisPosition="none">
              <x14:cfvo type="min"/>
              <x14:cfvo type="max"/>
            </x14:dataBar>
          </x14:cfRule>
          <xm:sqref>AI8:AI100</xm:sqref>
        </x14:conditionalFormatting>
        <x14:conditionalFormatting xmlns:xm="http://schemas.microsoft.com/office/excel/2006/main">
          <x14:cfRule type="dataBar" id="{DE1050C5-3AD0-4EAC-9A75-FA7A7F00B55F}">
            <x14:dataBar minLength="0" maxLength="100" negativeBarColorSameAsPositive="1" axisPosition="none">
              <x14:cfvo type="min"/>
              <x14:cfvo type="max"/>
            </x14:dataBar>
          </x14:cfRule>
          <xm:sqref>AJ8:AJ100</xm:sqref>
        </x14:conditionalFormatting>
        <x14:conditionalFormatting xmlns:xm="http://schemas.microsoft.com/office/excel/2006/main">
          <x14:cfRule type="dataBar" id="{C0CF7283-F690-4E1A-A232-5CD7B20D6FE7}">
            <x14:dataBar minLength="0" maxLength="100" negativeBarColorSameAsPositive="1" axisPosition="none">
              <x14:cfvo type="min"/>
              <x14:cfvo type="max"/>
            </x14:dataBar>
          </x14:cfRule>
          <xm:sqref>AK8:AK100</xm:sqref>
        </x14:conditionalFormatting>
        <x14:conditionalFormatting xmlns:xm="http://schemas.microsoft.com/office/excel/2006/main">
          <x14:cfRule type="dataBar" id="{EA52B864-D138-4792-8F1D-43027CA9A6EF}">
            <x14:dataBar minLength="0" maxLength="100" negativeBarColorSameAsPositive="1" axisPosition="none">
              <x14:cfvo type="min"/>
              <x14:cfvo type="max"/>
            </x14:dataBar>
          </x14:cfRule>
          <xm:sqref>AL8:AN100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设备分类!$B$2:$B$23</xm:f>
          </x14:formula1>
          <xm:sqref>P1:Q5</xm:sqref>
        </x14:dataValidation>
        <x14:dataValidation type="list" allowBlank="1" showInputMessage="1" showErrorMessage="1">
          <x14:formula1>
            <xm:f>设备分类!$B$2:$B$14</xm:f>
          </x14:formula1>
          <xm:sqref>O7:O100</xm:sqref>
        </x14:dataValidation>
        <x14:dataValidation type="list" allowBlank="1" showInputMessage="1" showErrorMessage="1">
          <x14:formula1>
            <xm:f>设备分类!$A$2:$A$41</xm:f>
          </x14:formula1>
          <xm:sqref>O101:O1048576</xm:sqref>
        </x14:dataValidation>
        <x14:dataValidation type="list" allowBlank="1" showInputMessage="1" showErrorMessage="1">
          <x14:formula1>
            <xm:f>设备分类!$B$2:$B$25</xm:f>
          </x14:formula1>
          <xm:sqref>P101:Q1048576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tPickList" enableFormatConditionsCalculation="0">
    <tabColor theme="4" tint="0.39997558519241921"/>
    <pageSetUpPr autoPageBreaks="0" fitToPage="1"/>
  </sheetPr>
  <dimension ref="A1:A40"/>
  <sheetViews>
    <sheetView showGridLines="0" workbookViewId="0">
      <selection activeCell="A11" sqref="A11"/>
    </sheetView>
  </sheetViews>
  <sheetFormatPr baseColWidth="10" defaultColWidth="8.83203125" defaultRowHeight="14" x14ac:dyDescent="0.15"/>
  <cols>
    <col min="1" max="1" width="20.83203125" customWidth="1"/>
  </cols>
  <sheetData>
    <row r="1" spans="1:1" ht="34" thickBot="1" x14ac:dyDescent="0.4">
      <c r="A1" s="5" t="s">
        <v>2</v>
      </c>
    </row>
    <row r="2" spans="1:1" x14ac:dyDescent="0.15">
      <c r="A2" s="9"/>
    </row>
    <row r="3" spans="1:1" x14ac:dyDescent="0.15">
      <c r="A3" s="13"/>
    </row>
    <row r="4" spans="1:1" x14ac:dyDescent="0.15">
      <c r="A4" s="7" t="s">
        <v>3</v>
      </c>
    </row>
    <row r="5" spans="1:1" x14ac:dyDescent="0.15">
      <c r="A5" s="12" t="s">
        <v>4</v>
      </c>
    </row>
    <row r="6" spans="1:1" x14ac:dyDescent="0.15">
      <c r="A6" s="15" t="s">
        <v>5</v>
      </c>
    </row>
    <row r="7" spans="1:1" x14ac:dyDescent="0.15">
      <c r="A7" s="15" t="s">
        <v>41</v>
      </c>
    </row>
    <row r="8" spans="1:1" x14ac:dyDescent="0.15">
      <c r="A8" s="15" t="s">
        <v>42</v>
      </c>
    </row>
    <row r="9" spans="1:1" x14ac:dyDescent="0.15">
      <c r="A9" s="15" t="s">
        <v>85</v>
      </c>
    </row>
    <row r="10" spans="1:1" x14ac:dyDescent="0.15">
      <c r="A10" s="119" t="s">
        <v>539</v>
      </c>
    </row>
    <row r="11" spans="1:1" x14ac:dyDescent="0.15">
      <c r="A11" s="14"/>
    </row>
    <row r="12" spans="1:1" x14ac:dyDescent="0.15">
      <c r="A12" s="14"/>
    </row>
    <row r="13" spans="1:1" x14ac:dyDescent="0.15">
      <c r="A13" s="14"/>
    </row>
    <row r="14" spans="1:1" x14ac:dyDescent="0.15">
      <c r="A14" s="14"/>
    </row>
    <row r="15" spans="1:1" x14ac:dyDescent="0.15">
      <c r="A15" s="14"/>
    </row>
    <row r="16" spans="1:1" x14ac:dyDescent="0.15">
      <c r="A16" s="14"/>
    </row>
    <row r="17" spans="1:1" x14ac:dyDescent="0.15">
      <c r="A17" s="14"/>
    </row>
    <row r="18" spans="1:1" x14ac:dyDescent="0.15">
      <c r="A18" s="14"/>
    </row>
    <row r="19" spans="1:1" x14ac:dyDescent="0.15">
      <c r="A19" s="14"/>
    </row>
    <row r="20" spans="1:1" x14ac:dyDescent="0.15">
      <c r="A20" s="14"/>
    </row>
    <row r="21" spans="1:1" x14ac:dyDescent="0.15">
      <c r="A21" s="14"/>
    </row>
    <row r="22" spans="1:1" x14ac:dyDescent="0.15">
      <c r="A22" s="14"/>
    </row>
    <row r="23" spans="1:1" x14ac:dyDescent="0.15">
      <c r="A23" s="14"/>
    </row>
    <row r="24" spans="1:1" x14ac:dyDescent="0.15">
      <c r="A24" s="14"/>
    </row>
    <row r="25" spans="1:1" x14ac:dyDescent="0.15">
      <c r="A25" s="14"/>
    </row>
    <row r="26" spans="1:1" x14ac:dyDescent="0.15">
      <c r="A26" s="14"/>
    </row>
    <row r="27" spans="1:1" x14ac:dyDescent="0.15">
      <c r="A27" s="14"/>
    </row>
    <row r="28" spans="1:1" x14ac:dyDescent="0.15">
      <c r="A28" s="14"/>
    </row>
    <row r="29" spans="1:1" x14ac:dyDescent="0.15">
      <c r="A29" s="14"/>
    </row>
    <row r="30" spans="1:1" x14ac:dyDescent="0.15">
      <c r="A30" s="14"/>
    </row>
    <row r="31" spans="1:1" x14ac:dyDescent="0.15">
      <c r="A31" s="14"/>
    </row>
    <row r="32" spans="1:1" x14ac:dyDescent="0.15">
      <c r="A32" s="14"/>
    </row>
    <row r="33" spans="1:1" x14ac:dyDescent="0.15">
      <c r="A33" s="14"/>
    </row>
    <row r="34" spans="1:1" x14ac:dyDescent="0.15">
      <c r="A34" s="14"/>
    </row>
    <row r="35" spans="1:1" x14ac:dyDescent="0.15">
      <c r="A35" s="14"/>
    </row>
    <row r="36" spans="1:1" x14ac:dyDescent="0.15">
      <c r="A36" s="14"/>
    </row>
    <row r="37" spans="1:1" x14ac:dyDescent="0.15">
      <c r="A37" s="14"/>
    </row>
    <row r="38" spans="1:1" x14ac:dyDescent="0.15">
      <c r="A38" s="14"/>
    </row>
    <row r="39" spans="1:1" x14ac:dyDescent="0.15">
      <c r="A39" s="14"/>
    </row>
    <row r="40" spans="1:1" x14ac:dyDescent="0.15">
      <c r="A40" s="14"/>
    </row>
  </sheetData>
  <phoneticPr fontId="18" type="noConversion"/>
  <dataValidations xWindow="567" yWindow="330" count="1">
    <dataValidation allowBlank="1" showInputMessage="1" showErrorMessage="1" prompt="To clear the pick list table in this worksheet, activate the object in B2 or press ALT+F8 and type &quot;ClearPickList&quot; with no spaces, then select RUN" sqref="A2"/>
  </dataValidations>
  <printOptions horizontalCentered="1"/>
  <pageMargins left="0.25" right="0.25" top="0.75" bottom="0.75" header="0.3" footer="0.3"/>
  <pageSetup scale="75" fitToHeight="0" orientation="landscape" r:id="rId1"/>
  <headerFooter differentFirst="1">
    <oddFooter>Page &amp;P of &amp;N</oddFooter>
  </headerFooter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tBinLookup" enableFormatConditionsCalculation="0">
    <tabColor theme="4" tint="-0.499984740745262"/>
    <pageSetUpPr autoPageBreaks="0"/>
  </sheetPr>
  <dimension ref="A1:E39"/>
  <sheetViews>
    <sheetView showGridLines="0" workbookViewId="0">
      <selection activeCell="B5" sqref="B5"/>
    </sheetView>
  </sheetViews>
  <sheetFormatPr baseColWidth="10" defaultColWidth="8.83203125" defaultRowHeight="14" x14ac:dyDescent="0.15"/>
  <cols>
    <col min="1" max="1" width="20.83203125" customWidth="1"/>
    <col min="2" max="2" width="19.5" customWidth="1"/>
    <col min="3" max="4" width="18.5" customWidth="1"/>
  </cols>
  <sheetData>
    <row r="1" spans="1:5" ht="34" thickBot="1" x14ac:dyDescent="0.4">
      <c r="A1" s="3" t="s">
        <v>1</v>
      </c>
      <c r="B1" s="1"/>
      <c r="C1" s="1"/>
      <c r="D1" s="1"/>
    </row>
    <row r="2" spans="1:5" x14ac:dyDescent="0.15">
      <c r="A2" s="9"/>
    </row>
    <row r="3" spans="1:5" x14ac:dyDescent="0.15">
      <c r="A3" s="8"/>
      <c r="B3" s="8"/>
      <c r="C3" s="8"/>
      <c r="D3" s="8"/>
    </row>
    <row r="4" spans="1:5" x14ac:dyDescent="0.15">
      <c r="A4" s="6" t="s">
        <v>16</v>
      </c>
      <c r="B4" s="6" t="s">
        <v>6</v>
      </c>
      <c r="C4" s="6" t="s">
        <v>7</v>
      </c>
      <c r="D4" s="6" t="s">
        <v>81</v>
      </c>
      <c r="E4" t="s">
        <v>82</v>
      </c>
    </row>
    <row r="5" spans="1:5" x14ac:dyDescent="0.15">
      <c r="A5" s="12" t="s">
        <v>8</v>
      </c>
      <c r="B5" s="12">
        <v>1</v>
      </c>
      <c r="C5" s="12">
        <v>18900000000</v>
      </c>
      <c r="D5" s="14" t="s">
        <v>85</v>
      </c>
      <c r="E5" s="15" t="s">
        <v>83</v>
      </c>
    </row>
    <row r="6" spans="1:5" x14ac:dyDescent="0.15">
      <c r="A6" s="12" t="s">
        <v>9</v>
      </c>
      <c r="B6" s="12">
        <v>2</v>
      </c>
      <c r="C6" s="11">
        <v>18911111111</v>
      </c>
      <c r="D6" s="14" t="s">
        <v>85</v>
      </c>
      <c r="E6" s="15" t="s">
        <v>84</v>
      </c>
    </row>
    <row r="7" spans="1:5" x14ac:dyDescent="0.15">
      <c r="A7" s="11"/>
      <c r="B7" s="11"/>
      <c r="C7" s="11"/>
      <c r="D7" s="14"/>
      <c r="E7" s="14"/>
    </row>
    <row r="8" spans="1:5" x14ac:dyDescent="0.15">
      <c r="A8" s="14"/>
      <c r="B8" s="14"/>
      <c r="C8" s="14"/>
      <c r="D8" s="14"/>
      <c r="E8" s="14"/>
    </row>
    <row r="9" spans="1:5" x14ac:dyDescent="0.15">
      <c r="A9" s="14"/>
      <c r="B9" s="14"/>
      <c r="C9" s="14"/>
      <c r="D9" s="14"/>
      <c r="E9" s="14"/>
    </row>
    <row r="10" spans="1:5" x14ac:dyDescent="0.15">
      <c r="A10" s="14"/>
      <c r="B10" s="14"/>
      <c r="C10" s="14"/>
      <c r="D10" s="14"/>
      <c r="E10" s="14"/>
    </row>
    <row r="11" spans="1:5" x14ac:dyDescent="0.15">
      <c r="A11" s="14"/>
      <c r="B11" s="14"/>
      <c r="C11" s="14"/>
      <c r="D11" s="14"/>
      <c r="E11" s="14"/>
    </row>
    <row r="12" spans="1:5" x14ac:dyDescent="0.15">
      <c r="A12" s="14"/>
      <c r="B12" s="14"/>
      <c r="C12" s="14"/>
      <c r="D12" s="14"/>
      <c r="E12" s="14"/>
    </row>
    <row r="13" spans="1:5" x14ac:dyDescent="0.15">
      <c r="A13" s="14"/>
      <c r="B13" s="14"/>
      <c r="C13" s="14"/>
      <c r="D13" s="14"/>
      <c r="E13" s="14"/>
    </row>
    <row r="14" spans="1:5" x14ac:dyDescent="0.15">
      <c r="A14" s="14"/>
      <c r="B14" s="14"/>
      <c r="C14" s="14"/>
      <c r="D14" s="14"/>
      <c r="E14" s="14"/>
    </row>
    <row r="15" spans="1:5" x14ac:dyDescent="0.15">
      <c r="A15" s="14"/>
      <c r="B15" s="14"/>
      <c r="C15" s="14"/>
      <c r="D15" s="14"/>
    </row>
    <row r="16" spans="1:5" x14ac:dyDescent="0.15">
      <c r="A16" s="14"/>
      <c r="B16" s="14"/>
      <c r="C16" s="14"/>
      <c r="D16" s="14"/>
    </row>
    <row r="17" spans="1:4" x14ac:dyDescent="0.15">
      <c r="A17" s="14"/>
      <c r="B17" s="14"/>
      <c r="C17" s="14"/>
      <c r="D17" s="14"/>
    </row>
    <row r="18" spans="1:4" x14ac:dyDescent="0.15">
      <c r="A18" s="14"/>
      <c r="B18" s="14"/>
      <c r="C18" s="14"/>
      <c r="D18" s="14"/>
    </row>
    <row r="19" spans="1:4" x14ac:dyDescent="0.15">
      <c r="A19" s="14"/>
      <c r="B19" s="14"/>
      <c r="C19" s="14"/>
      <c r="D19" s="14"/>
    </row>
    <row r="20" spans="1:4" x14ac:dyDescent="0.15">
      <c r="A20" s="14"/>
      <c r="B20" s="14"/>
      <c r="C20" s="14"/>
      <c r="D20" s="14"/>
    </row>
    <row r="21" spans="1:4" x14ac:dyDescent="0.15">
      <c r="A21" s="14"/>
      <c r="B21" s="14"/>
      <c r="C21" s="14"/>
      <c r="D21" s="14"/>
    </row>
    <row r="22" spans="1:4" x14ac:dyDescent="0.15">
      <c r="A22" s="14"/>
      <c r="B22" s="14"/>
      <c r="C22" s="14"/>
      <c r="D22" s="14"/>
    </row>
    <row r="23" spans="1:4" x14ac:dyDescent="0.15">
      <c r="A23" s="14"/>
      <c r="B23" s="14"/>
      <c r="C23" s="14"/>
      <c r="D23" s="14"/>
    </row>
    <row r="24" spans="1:4" x14ac:dyDescent="0.15">
      <c r="A24" s="14"/>
      <c r="B24" s="14"/>
      <c r="C24" s="14"/>
      <c r="D24" s="14"/>
    </row>
    <row r="25" spans="1:4" x14ac:dyDescent="0.15">
      <c r="A25" s="14"/>
      <c r="B25" s="14"/>
      <c r="C25" s="14"/>
      <c r="D25" s="14"/>
    </row>
    <row r="26" spans="1:4" x14ac:dyDescent="0.15">
      <c r="A26" s="14"/>
      <c r="B26" s="14"/>
      <c r="C26" s="14"/>
      <c r="D26" s="14"/>
    </row>
    <row r="27" spans="1:4" x14ac:dyDescent="0.15">
      <c r="A27" s="14"/>
      <c r="B27" s="14"/>
      <c r="C27" s="14"/>
      <c r="D27" s="14"/>
    </row>
    <row r="28" spans="1:4" x14ac:dyDescent="0.15">
      <c r="A28" s="14"/>
      <c r="B28" s="14"/>
      <c r="C28" s="14"/>
      <c r="D28" s="14"/>
    </row>
    <row r="29" spans="1:4" x14ac:dyDescent="0.15">
      <c r="A29" s="14"/>
      <c r="B29" s="14"/>
      <c r="C29" s="14"/>
      <c r="D29" s="14"/>
    </row>
    <row r="30" spans="1:4" x14ac:dyDescent="0.15">
      <c r="A30" s="14"/>
      <c r="B30" s="14"/>
      <c r="C30" s="14"/>
      <c r="D30" s="14"/>
    </row>
    <row r="31" spans="1:4" x14ac:dyDescent="0.15">
      <c r="A31" s="14"/>
      <c r="B31" s="14"/>
      <c r="C31" s="14"/>
      <c r="D31" s="14"/>
    </row>
    <row r="32" spans="1:4" x14ac:dyDescent="0.15">
      <c r="A32" s="14"/>
      <c r="B32" s="14"/>
      <c r="C32" s="14"/>
      <c r="D32" s="14"/>
    </row>
    <row r="33" spans="1:4" x14ac:dyDescent="0.15">
      <c r="A33" s="14"/>
      <c r="B33" s="14"/>
      <c r="C33" s="14"/>
      <c r="D33" s="14"/>
    </row>
    <row r="34" spans="1:4" x14ac:dyDescent="0.15">
      <c r="A34" s="14"/>
      <c r="B34" s="14"/>
      <c r="C34" s="14"/>
      <c r="D34" s="14"/>
    </row>
    <row r="35" spans="1:4" x14ac:dyDescent="0.15">
      <c r="A35" s="14"/>
      <c r="B35" s="14"/>
      <c r="C35" s="14"/>
      <c r="D35" s="14"/>
    </row>
    <row r="36" spans="1:4" x14ac:dyDescent="0.15">
      <c r="A36" s="14"/>
      <c r="B36" s="14"/>
      <c r="C36" s="14"/>
      <c r="D36" s="14"/>
    </row>
    <row r="37" spans="1:4" x14ac:dyDescent="0.15">
      <c r="A37" s="14"/>
      <c r="B37" s="14"/>
      <c r="C37" s="14"/>
      <c r="D37" s="14"/>
    </row>
    <row r="38" spans="1:4" x14ac:dyDescent="0.15">
      <c r="A38" s="14"/>
      <c r="B38" s="14"/>
      <c r="C38" s="14"/>
      <c r="D38" s="14"/>
    </row>
    <row r="39" spans="1:4" x14ac:dyDescent="0.15">
      <c r="A39" s="14"/>
      <c r="B39" s="14"/>
      <c r="C39" s="14"/>
      <c r="D39" s="14"/>
    </row>
  </sheetData>
  <phoneticPr fontId="18" type="noConversion"/>
  <dataValidations xWindow="144" yWindow="400" count="2">
    <dataValidation allowBlank="1" showInputMessage="1" showErrorMessage="1" prompt="Navigation link to Warehouse Inventory List worksheet" sqref="A2"/>
    <dataValidation type="list" allowBlank="1" showInputMessage="1" showErrorMessage="1" sqref="D5:D8">
      <formula1>OrgList</formula1>
    </dataValidation>
  </dataValidations>
  <printOptions horizontalCentered="1"/>
  <pageMargins left="0.25" right="0.25" top="0.75" bottom="0.75" header="0.3" footer="0.3"/>
  <pageSetup orientation="landscape" r:id="rId1"/>
  <headerFooter differentFirst="1">
    <oddFooter>Page &amp;P of &amp;N</oddFooter>
  </headerFooter>
  <drawing r:id="rId2"/>
  <legacyDrawing r:id="rId3"/>
  <tableParts count="1"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workbookViewId="0">
      <selection activeCell="G16" sqref="G16"/>
    </sheetView>
  </sheetViews>
  <sheetFormatPr baseColWidth="10" defaultColWidth="8.83203125" defaultRowHeight="14" x14ac:dyDescent="0.15"/>
  <cols>
    <col min="1" max="1" width="8.83203125" style="57" customWidth="1"/>
    <col min="2" max="2" width="32.6640625" style="57" customWidth="1"/>
    <col min="3" max="3" width="8.83203125" style="57"/>
    <col min="4" max="4" width="27.83203125" style="57" customWidth="1"/>
    <col min="5" max="16384" width="8.83203125" style="57"/>
  </cols>
  <sheetData>
    <row r="1" spans="1:4" ht="18" thickBot="1" x14ac:dyDescent="0.2">
      <c r="A1" s="125" t="s">
        <v>148</v>
      </c>
      <c r="B1" s="125"/>
      <c r="C1" s="125"/>
      <c r="D1" s="125"/>
    </row>
    <row r="2" spans="1:4" ht="18" thickBot="1" x14ac:dyDescent="0.2">
      <c r="A2" s="58" t="s">
        <v>149</v>
      </c>
      <c r="B2" s="59" t="s">
        <v>150</v>
      </c>
      <c r="C2" s="59" t="s">
        <v>151</v>
      </c>
      <c r="D2" s="59" t="s">
        <v>152</v>
      </c>
    </row>
    <row r="3" spans="1:4" ht="17" x14ac:dyDescent="0.15">
      <c r="A3" s="60">
        <v>1</v>
      </c>
      <c r="B3" s="61" t="s">
        <v>153</v>
      </c>
      <c r="C3" s="62"/>
      <c r="D3" s="63" t="s">
        <v>154</v>
      </c>
    </row>
    <row r="4" spans="1:4" ht="18" thickBot="1" x14ac:dyDescent="0.2">
      <c r="A4" s="64">
        <v>2</v>
      </c>
      <c r="B4" s="65" t="s">
        <v>155</v>
      </c>
      <c r="C4" s="66"/>
      <c r="D4" s="67" t="s">
        <v>154</v>
      </c>
    </row>
    <row r="5" spans="1:4" s="71" customFormat="1" ht="18" thickBot="1" x14ac:dyDescent="0.2">
      <c r="A5" s="68"/>
      <c r="B5" s="69"/>
      <c r="C5" s="70"/>
      <c r="D5" s="70"/>
    </row>
    <row r="6" spans="1:4" s="71" customFormat="1" ht="18" thickBot="1" x14ac:dyDescent="0.2">
      <c r="A6" s="126" t="s">
        <v>156</v>
      </c>
      <c r="B6" s="127"/>
      <c r="C6" s="127"/>
      <c r="D6" s="128"/>
    </row>
    <row r="7" spans="1:4" s="71" customFormat="1" ht="18" thickBot="1" x14ac:dyDescent="0.2">
      <c r="A7" s="72" t="s">
        <v>149</v>
      </c>
      <c r="B7" s="73" t="s">
        <v>150</v>
      </c>
      <c r="C7" s="73" t="s">
        <v>151</v>
      </c>
      <c r="D7" s="73" t="s">
        <v>152</v>
      </c>
    </row>
    <row r="8" spans="1:4" ht="17" x14ac:dyDescent="0.15">
      <c r="A8" s="74">
        <v>3</v>
      </c>
      <c r="B8" s="75" t="s">
        <v>157</v>
      </c>
      <c r="C8" s="76"/>
      <c r="D8" s="77"/>
    </row>
    <row r="9" spans="1:4" ht="17" x14ac:dyDescent="0.15">
      <c r="A9" s="60">
        <v>4</v>
      </c>
      <c r="B9" s="61" t="s">
        <v>158</v>
      </c>
      <c r="C9" s="78"/>
      <c r="D9" s="79"/>
    </row>
    <row r="10" spans="1:4" ht="18" thickBot="1" x14ac:dyDescent="0.2">
      <c r="A10" s="60">
        <v>5</v>
      </c>
      <c r="B10" s="61" t="s">
        <v>159</v>
      </c>
      <c r="C10" s="78"/>
      <c r="D10" s="79"/>
    </row>
    <row r="11" spans="1:4" ht="17" x14ac:dyDescent="0.15">
      <c r="A11" s="74">
        <v>6</v>
      </c>
      <c r="B11" s="61" t="s">
        <v>160</v>
      </c>
      <c r="C11" s="78"/>
      <c r="D11" s="79"/>
    </row>
    <row r="12" spans="1:4" ht="17" x14ac:dyDescent="0.15">
      <c r="A12" s="60">
        <v>7</v>
      </c>
      <c r="B12" s="61" t="s">
        <v>161</v>
      </c>
      <c r="C12" s="78"/>
      <c r="D12" s="79"/>
    </row>
    <row r="13" spans="1:4" ht="18" thickBot="1" x14ac:dyDescent="0.2">
      <c r="A13" s="60">
        <v>8</v>
      </c>
      <c r="B13" s="61" t="s">
        <v>162</v>
      </c>
      <c r="C13" s="78"/>
      <c r="D13" s="79"/>
    </row>
    <row r="14" spans="1:4" ht="15" x14ac:dyDescent="0.15">
      <c r="A14" s="74">
        <v>9</v>
      </c>
      <c r="B14" s="78" t="s">
        <v>163</v>
      </c>
      <c r="C14" s="78"/>
      <c r="D14" s="79"/>
    </row>
    <row r="15" spans="1:4" ht="17" x14ac:dyDescent="0.15">
      <c r="A15" s="60">
        <v>10</v>
      </c>
      <c r="B15" s="61" t="s">
        <v>164</v>
      </c>
      <c r="C15" s="78"/>
      <c r="D15" s="79"/>
    </row>
    <row r="16" spans="1:4" ht="18" thickBot="1" x14ac:dyDescent="0.2">
      <c r="A16" s="60">
        <v>11</v>
      </c>
      <c r="B16" s="61" t="s">
        <v>165</v>
      </c>
      <c r="C16" s="78"/>
      <c r="D16" s="79" t="s">
        <v>166</v>
      </c>
    </row>
    <row r="17" spans="1:4" ht="17" x14ac:dyDescent="0.15">
      <c r="A17" s="74">
        <v>12</v>
      </c>
      <c r="B17" s="61" t="s">
        <v>167</v>
      </c>
      <c r="C17" s="78"/>
      <c r="D17" s="79"/>
    </row>
    <row r="18" spans="1:4" ht="17" x14ac:dyDescent="0.15">
      <c r="A18" s="60">
        <v>13</v>
      </c>
      <c r="B18" s="61" t="s">
        <v>168</v>
      </c>
      <c r="C18" s="78"/>
      <c r="D18" s="79"/>
    </row>
    <row r="19" spans="1:4" ht="18" thickBot="1" x14ac:dyDescent="0.2">
      <c r="A19" s="60">
        <v>14</v>
      </c>
      <c r="B19" s="61" t="s">
        <v>169</v>
      </c>
      <c r="C19" s="78"/>
      <c r="D19" s="79"/>
    </row>
    <row r="20" spans="1:4" ht="17" x14ac:dyDescent="0.15">
      <c r="A20" s="74">
        <v>15</v>
      </c>
      <c r="B20" s="61" t="s">
        <v>170</v>
      </c>
      <c r="C20" s="78"/>
      <c r="D20" s="79"/>
    </row>
    <row r="21" spans="1:4" ht="18" thickBot="1" x14ac:dyDescent="0.2">
      <c r="A21" s="60">
        <v>16</v>
      </c>
      <c r="B21" s="65" t="s">
        <v>171</v>
      </c>
      <c r="C21" s="80"/>
      <c r="D21" s="81"/>
    </row>
    <row r="22" spans="1:4" ht="16" thickBot="1" x14ac:dyDescent="0.2">
      <c r="A22" s="82"/>
    </row>
    <row r="23" spans="1:4" ht="18" thickBot="1" x14ac:dyDescent="0.2">
      <c r="A23" s="129" t="s">
        <v>172</v>
      </c>
      <c r="B23" s="130"/>
      <c r="C23" s="130"/>
      <c r="D23" s="131"/>
    </row>
    <row r="24" spans="1:4" ht="18" thickBot="1" x14ac:dyDescent="0.2">
      <c r="A24" s="83" t="s">
        <v>149</v>
      </c>
      <c r="B24" s="84" t="s">
        <v>150</v>
      </c>
      <c r="C24" s="84" t="s">
        <v>151</v>
      </c>
      <c r="D24" s="84" t="s">
        <v>152</v>
      </c>
    </row>
    <row r="25" spans="1:4" ht="16" thickBot="1" x14ac:dyDescent="0.2">
      <c r="A25" s="60">
        <v>17</v>
      </c>
      <c r="B25" s="85" t="s">
        <v>173</v>
      </c>
      <c r="C25" s="86"/>
      <c r="D25" s="87" t="s">
        <v>174</v>
      </c>
    </row>
    <row r="26" spans="1:4" ht="16" thickBot="1" x14ac:dyDescent="0.2">
      <c r="A26" s="60">
        <v>18</v>
      </c>
      <c r="B26" s="85" t="s">
        <v>175</v>
      </c>
      <c r="C26" s="62"/>
      <c r="D26" s="63" t="s">
        <v>154</v>
      </c>
    </row>
    <row r="27" spans="1:4" ht="15" x14ac:dyDescent="0.15">
      <c r="A27" s="60">
        <v>19</v>
      </c>
      <c r="B27" s="85" t="s">
        <v>176</v>
      </c>
      <c r="C27" s="88"/>
      <c r="D27" s="89" t="s">
        <v>177</v>
      </c>
    </row>
    <row r="28" spans="1:4" ht="16" thickBot="1" x14ac:dyDescent="0.2">
      <c r="A28" s="60">
        <v>20</v>
      </c>
      <c r="B28" s="90" t="s">
        <v>178</v>
      </c>
      <c r="C28" s="91"/>
      <c r="D28" s="92" t="s">
        <v>177</v>
      </c>
    </row>
  </sheetData>
  <mergeCells count="3">
    <mergeCell ref="A1:D1"/>
    <mergeCell ref="A6:D6"/>
    <mergeCell ref="A23:D23"/>
  </mergeCells>
  <phoneticPr fontId="37" type="noConversion"/>
  <dataValidations count="1">
    <dataValidation type="list" allowBlank="1" showInputMessage="1" showErrorMessage="1" sqref="C8:C21 C25:C28 C3:C4">
      <formula1>"Y,N"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FFFF00"/>
  </sheetPr>
  <dimension ref="A1:D42"/>
  <sheetViews>
    <sheetView workbookViewId="0">
      <selection activeCell="A3" sqref="A3"/>
    </sheetView>
  </sheetViews>
  <sheetFormatPr baseColWidth="10" defaultColWidth="8.83203125" defaultRowHeight="14" x14ac:dyDescent="0.15"/>
  <cols>
    <col min="1" max="1" width="19.5" style="52" customWidth="1"/>
    <col min="2" max="2" width="12.6640625" customWidth="1"/>
    <col min="3" max="3" width="12.5" customWidth="1"/>
    <col min="4" max="4" width="29" customWidth="1"/>
  </cols>
  <sheetData>
    <row r="1" spans="1:4" x14ac:dyDescent="0.15">
      <c r="A1" s="132" t="s">
        <v>122</v>
      </c>
      <c r="B1" s="132" t="s">
        <v>123</v>
      </c>
      <c r="C1" s="132"/>
      <c r="D1" s="132" t="s">
        <v>124</v>
      </c>
    </row>
    <row r="2" spans="1:4" x14ac:dyDescent="0.15">
      <c r="A2" s="132"/>
      <c r="B2" s="38" t="s">
        <v>125</v>
      </c>
      <c r="C2" s="38" t="s">
        <v>126</v>
      </c>
      <c r="D2" s="132"/>
    </row>
    <row r="3" spans="1:4" ht="16" x14ac:dyDescent="0.15">
      <c r="A3" s="45" t="s">
        <v>45</v>
      </c>
      <c r="B3" s="40"/>
      <c r="C3" s="40" t="s">
        <v>127</v>
      </c>
      <c r="D3" s="41"/>
    </row>
    <row r="4" spans="1:4" ht="16" x14ac:dyDescent="0.15">
      <c r="A4" s="39" t="s">
        <v>13</v>
      </c>
      <c r="B4" s="42" t="s">
        <v>128</v>
      </c>
      <c r="C4" s="42" t="s">
        <v>127</v>
      </c>
      <c r="D4" s="41"/>
    </row>
    <row r="5" spans="1:4" ht="16" x14ac:dyDescent="0.15">
      <c r="A5" s="43" t="s">
        <v>15</v>
      </c>
      <c r="B5" s="44"/>
      <c r="C5" s="44"/>
      <c r="D5" s="41"/>
    </row>
    <row r="6" spans="1:4" ht="16" x14ac:dyDescent="0.15">
      <c r="A6" s="45" t="s">
        <v>129</v>
      </c>
      <c r="B6" s="44"/>
      <c r="C6" s="44" t="s">
        <v>130</v>
      </c>
      <c r="D6" s="41" t="s">
        <v>131</v>
      </c>
    </row>
    <row r="7" spans="1:4" ht="16" x14ac:dyDescent="0.15">
      <c r="A7" s="43" t="s">
        <v>132</v>
      </c>
      <c r="B7" s="46"/>
      <c r="C7" s="46"/>
      <c r="D7" s="41"/>
    </row>
    <row r="8" spans="1:4" ht="16" x14ac:dyDescent="0.15">
      <c r="A8" s="45" t="s">
        <v>133</v>
      </c>
      <c r="B8" s="47"/>
      <c r="C8" s="47" t="s">
        <v>127</v>
      </c>
      <c r="D8" s="41"/>
    </row>
    <row r="9" spans="1:4" ht="16" x14ac:dyDescent="0.15">
      <c r="A9" s="48" t="s">
        <v>33</v>
      </c>
      <c r="B9" s="47"/>
      <c r="C9" s="47" t="s">
        <v>134</v>
      </c>
      <c r="D9" s="49" t="s">
        <v>135</v>
      </c>
    </row>
    <row r="10" spans="1:4" ht="16" x14ac:dyDescent="0.15">
      <c r="A10" s="45" t="s">
        <v>136</v>
      </c>
      <c r="B10" s="47"/>
      <c r="C10" s="47" t="s">
        <v>127</v>
      </c>
      <c r="D10" s="41"/>
    </row>
    <row r="11" spans="1:4" ht="16" x14ac:dyDescent="0.15">
      <c r="A11" s="43" t="s">
        <v>18</v>
      </c>
      <c r="B11" s="47"/>
      <c r="C11" s="47"/>
      <c r="D11" s="41"/>
    </row>
    <row r="12" spans="1:4" ht="16" x14ac:dyDescent="0.15">
      <c r="A12" s="45" t="s">
        <v>34</v>
      </c>
      <c r="B12" s="47"/>
      <c r="C12" s="47" t="s">
        <v>127</v>
      </c>
      <c r="D12" s="41"/>
    </row>
    <row r="13" spans="1:4" ht="16" x14ac:dyDescent="0.15">
      <c r="A13" s="39" t="s">
        <v>35</v>
      </c>
      <c r="B13" s="47" t="s">
        <v>137</v>
      </c>
      <c r="C13" s="47" t="s">
        <v>127</v>
      </c>
      <c r="D13" s="41"/>
    </row>
    <row r="14" spans="1:4" ht="16" x14ac:dyDescent="0.15">
      <c r="A14" s="43" t="s">
        <v>36</v>
      </c>
      <c r="B14" s="47"/>
      <c r="C14" s="47"/>
      <c r="D14" s="41"/>
    </row>
    <row r="15" spans="1:4" ht="16" x14ac:dyDescent="0.15">
      <c r="A15" s="45" t="s">
        <v>138</v>
      </c>
      <c r="B15" s="47"/>
      <c r="C15" s="47" t="s">
        <v>127</v>
      </c>
      <c r="D15" s="41"/>
    </row>
    <row r="16" spans="1:4" ht="16" x14ac:dyDescent="0.15">
      <c r="A16" s="43" t="s">
        <v>37</v>
      </c>
      <c r="B16" s="47"/>
      <c r="C16" s="47"/>
      <c r="D16" s="41"/>
    </row>
    <row r="17" spans="1:4" ht="16" x14ac:dyDescent="0.15">
      <c r="A17" s="45" t="s">
        <v>139</v>
      </c>
      <c r="B17" s="47"/>
      <c r="C17" s="47" t="s">
        <v>127</v>
      </c>
      <c r="D17" s="41"/>
    </row>
    <row r="18" spans="1:4" ht="16" x14ac:dyDescent="0.15">
      <c r="A18" s="45" t="s">
        <v>38</v>
      </c>
      <c r="B18" s="47"/>
      <c r="C18" s="47" t="s">
        <v>127</v>
      </c>
      <c r="D18" s="41"/>
    </row>
    <row r="19" spans="1:4" ht="16" x14ac:dyDescent="0.15">
      <c r="A19" s="43" t="s">
        <v>39</v>
      </c>
      <c r="B19" s="47"/>
      <c r="C19" s="47"/>
      <c r="D19" s="41"/>
    </row>
    <row r="20" spans="1:4" ht="16" x14ac:dyDescent="0.15">
      <c r="A20" s="45" t="s">
        <v>40</v>
      </c>
      <c r="B20" s="47"/>
      <c r="C20" s="47" t="s">
        <v>127</v>
      </c>
      <c r="D20" s="41"/>
    </row>
    <row r="21" spans="1:4" ht="16" x14ac:dyDescent="0.15">
      <c r="A21" s="48" t="s">
        <v>12</v>
      </c>
      <c r="B21" s="47"/>
      <c r="C21" s="47" t="s">
        <v>140</v>
      </c>
      <c r="D21" s="41"/>
    </row>
    <row r="22" spans="1:4" ht="16" x14ac:dyDescent="0.15">
      <c r="A22" s="43" t="s">
        <v>19</v>
      </c>
      <c r="B22" s="47"/>
      <c r="C22" s="47"/>
      <c r="D22" s="41"/>
    </row>
    <row r="23" spans="1:4" ht="16" x14ac:dyDescent="0.15">
      <c r="A23" s="43" t="s">
        <v>20</v>
      </c>
      <c r="B23" s="47"/>
      <c r="C23" s="47"/>
      <c r="D23" s="41"/>
    </row>
    <row r="24" spans="1:4" ht="16" x14ac:dyDescent="0.15">
      <c r="A24" s="43" t="s">
        <v>21</v>
      </c>
      <c r="B24" s="47"/>
      <c r="C24" s="47"/>
      <c r="D24" s="41"/>
    </row>
    <row r="25" spans="1:4" ht="16" x14ac:dyDescent="0.15">
      <c r="A25" s="43" t="s">
        <v>22</v>
      </c>
      <c r="B25" s="47"/>
      <c r="C25" s="47"/>
      <c r="D25" s="41"/>
    </row>
    <row r="26" spans="1:4" ht="16" x14ac:dyDescent="0.15">
      <c r="A26" s="43" t="s">
        <v>23</v>
      </c>
      <c r="B26" s="47"/>
      <c r="C26" s="47"/>
      <c r="D26" s="41"/>
    </row>
    <row r="27" spans="1:4" ht="16" x14ac:dyDescent="0.15">
      <c r="A27" s="43" t="s">
        <v>24</v>
      </c>
      <c r="B27" s="47"/>
      <c r="C27" s="47"/>
      <c r="D27" s="41"/>
    </row>
    <row r="28" spans="1:4" ht="16" x14ac:dyDescent="0.15">
      <c r="A28" s="45" t="s">
        <v>25</v>
      </c>
      <c r="B28" s="47"/>
      <c r="C28" s="47" t="s">
        <v>127</v>
      </c>
      <c r="D28" s="41"/>
    </row>
    <row r="29" spans="1:4" ht="16" x14ac:dyDescent="0.15">
      <c r="A29" s="45" t="s">
        <v>26</v>
      </c>
      <c r="B29" s="47"/>
      <c r="C29" s="47" t="s">
        <v>127</v>
      </c>
      <c r="D29" s="41"/>
    </row>
    <row r="30" spans="1:4" ht="16" x14ac:dyDescent="0.15">
      <c r="A30" s="43" t="s">
        <v>27</v>
      </c>
      <c r="B30" s="47"/>
      <c r="C30" s="47"/>
      <c r="D30" s="41"/>
    </row>
    <row r="31" spans="1:4" ht="16" x14ac:dyDescent="0.15">
      <c r="A31" s="43" t="s">
        <v>28</v>
      </c>
      <c r="B31" s="47"/>
      <c r="C31" s="47"/>
      <c r="D31" s="41"/>
    </row>
    <row r="32" spans="1:4" ht="16" x14ac:dyDescent="0.15">
      <c r="A32" s="43" t="s">
        <v>29</v>
      </c>
      <c r="B32" s="47"/>
      <c r="C32" s="47"/>
      <c r="D32" s="41"/>
    </row>
    <row r="33" spans="1:4" ht="16" x14ac:dyDescent="0.15">
      <c r="A33" s="43" t="s">
        <v>30</v>
      </c>
      <c r="B33" s="47"/>
      <c r="C33" s="47"/>
      <c r="D33" s="41"/>
    </row>
    <row r="34" spans="1:4" ht="16" x14ac:dyDescent="0.15">
      <c r="A34" s="43" t="s">
        <v>31</v>
      </c>
      <c r="B34" s="47"/>
      <c r="C34" s="47"/>
      <c r="D34" s="41"/>
    </row>
    <row r="35" spans="1:4" ht="16" x14ac:dyDescent="0.15">
      <c r="A35" s="43" t="s">
        <v>32</v>
      </c>
      <c r="B35" s="47"/>
      <c r="C35" s="47"/>
      <c r="D35" s="41"/>
    </row>
    <row r="36" spans="1:4" ht="16" x14ac:dyDescent="0.15">
      <c r="A36" s="50" t="s">
        <v>141</v>
      </c>
      <c r="B36" s="51"/>
      <c r="C36" s="51" t="s">
        <v>127</v>
      </c>
      <c r="D36" s="41"/>
    </row>
    <row r="39" spans="1:4" x14ac:dyDescent="0.15">
      <c r="A39" s="52" t="s">
        <v>142</v>
      </c>
    </row>
    <row r="40" spans="1:4" ht="15" x14ac:dyDescent="0.15">
      <c r="A40" s="53"/>
      <c r="B40" t="s">
        <v>143</v>
      </c>
      <c r="C40" s="54" t="s">
        <v>144</v>
      </c>
    </row>
    <row r="41" spans="1:4" ht="15" x14ac:dyDescent="0.15">
      <c r="A41" s="55"/>
      <c r="B41" t="s">
        <v>145</v>
      </c>
      <c r="C41" s="54" t="s">
        <v>126</v>
      </c>
    </row>
    <row r="42" spans="1:4" ht="15" x14ac:dyDescent="0.15">
      <c r="A42" s="56"/>
      <c r="B42" t="s">
        <v>146</v>
      </c>
      <c r="C42" s="54" t="s">
        <v>147</v>
      </c>
    </row>
  </sheetData>
  <mergeCells count="3">
    <mergeCell ref="A1:A2"/>
    <mergeCell ref="B1:C1"/>
    <mergeCell ref="D1:D2"/>
  </mergeCells>
  <phoneticPr fontId="37" type="noConversion"/>
  <conditionalFormatting sqref="C7">
    <cfRule type="expression" dxfId="1" priority="2">
      <formula>"If(blnBinNo=""True"")"</formula>
    </cfRule>
  </conditionalFormatting>
  <conditionalFormatting sqref="B7">
    <cfRule type="expression" dxfId="0" priority="1">
      <formula>"If(blnBinNo=""True"")"</formula>
    </cfRule>
  </conditionalFormatting>
  <dataValidations count="4">
    <dataValidation errorStyle="warning" allowBlank="1" showInputMessage="1" showErrorMessage="1" error="This Bin # isn't in the list. Select Yes to retain the entry, Cancel to add it to the table on the Bin Lookup worksheet, which will add the Bin # to this drop down list, or No, then ALT + DOWN ARROW to select from the list" sqref="C7"/>
    <dataValidation allowBlank="1" showInputMessage="1" showErrorMessage="1" prompt="Automatically calculated number of inventory items based on their description" sqref="C4:C5"/>
    <dataValidation allowBlank="1" showInputMessage="1" showErrorMessage="1" prompt="Automatically calculated bin count" sqref="C6"/>
    <dataValidation allowBlank="1" showInputMessage="1" showErrorMessage="1" prompt="Automatically calculated total inventory value" sqref="C3"/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"/>
  <sheetViews>
    <sheetView topLeftCell="H1" workbookViewId="0">
      <selection activeCell="M8" sqref="M8"/>
    </sheetView>
  </sheetViews>
  <sheetFormatPr baseColWidth="10" defaultColWidth="8.83203125" defaultRowHeight="14" x14ac:dyDescent="0.15"/>
  <cols>
    <col min="1" max="1" width="31.6640625" hidden="1" customWidth="1"/>
    <col min="2" max="2" width="24.5" customWidth="1"/>
    <col min="6" max="6" width="12.83203125" customWidth="1"/>
    <col min="7" max="8" width="11.5" bestFit="1" customWidth="1"/>
    <col min="9" max="9" width="18.83203125" bestFit="1" customWidth="1"/>
    <col min="12" max="12" width="18.83203125" bestFit="1" customWidth="1"/>
  </cols>
  <sheetData>
    <row r="1" spans="1:13" s="27" customFormat="1" x14ac:dyDescent="0.15">
      <c r="A1" s="96" t="s">
        <v>428</v>
      </c>
      <c r="B1" s="22" t="s">
        <v>35</v>
      </c>
      <c r="C1" s="96" t="s">
        <v>432</v>
      </c>
      <c r="D1" s="96" t="s">
        <v>433</v>
      </c>
      <c r="E1" s="96" t="s">
        <v>434</v>
      </c>
      <c r="F1" s="96" t="s">
        <v>435</v>
      </c>
      <c r="G1" s="96" t="s">
        <v>436</v>
      </c>
      <c r="H1" s="96" t="s">
        <v>437</v>
      </c>
      <c r="I1" s="100" t="s">
        <v>444</v>
      </c>
      <c r="J1" s="102" t="s">
        <v>495</v>
      </c>
      <c r="K1" s="104" t="s">
        <v>496</v>
      </c>
      <c r="L1" s="108" t="s">
        <v>497</v>
      </c>
      <c r="M1" s="122" t="s">
        <v>543</v>
      </c>
    </row>
    <row r="2" spans="1:13" x14ac:dyDescent="0.15">
      <c r="A2" s="95" t="s">
        <v>421</v>
      </c>
      <c r="B2" s="107" t="s">
        <v>421</v>
      </c>
      <c r="C2" s="95" t="s">
        <v>429</v>
      </c>
      <c r="D2" s="95" t="s">
        <v>438</v>
      </c>
      <c r="E2" s="98" t="s">
        <v>510</v>
      </c>
      <c r="F2" s="107" t="s">
        <v>445</v>
      </c>
      <c r="G2" s="97" t="s">
        <v>514</v>
      </c>
      <c r="H2" s="95" t="s">
        <v>442</v>
      </c>
      <c r="I2" s="99" t="s">
        <v>451</v>
      </c>
      <c r="J2" s="101" t="s">
        <v>482</v>
      </c>
      <c r="K2" s="103" t="s">
        <v>486</v>
      </c>
      <c r="L2" s="107" t="s">
        <v>489</v>
      </c>
      <c r="M2" s="116" t="s">
        <v>544</v>
      </c>
    </row>
    <row r="3" spans="1:13" ht="17.25" customHeight="1" x14ac:dyDescent="0.15">
      <c r="A3" s="95" t="s">
        <v>422</v>
      </c>
      <c r="B3" s="107" t="s">
        <v>422</v>
      </c>
      <c r="C3" s="95" t="s">
        <v>430</v>
      </c>
      <c r="D3" s="95" t="s">
        <v>439</v>
      </c>
      <c r="E3" s="98" t="s">
        <v>511</v>
      </c>
      <c r="F3" s="107" t="s">
        <v>446</v>
      </c>
      <c r="G3" s="97" t="s">
        <v>515</v>
      </c>
      <c r="H3" s="95" t="s">
        <v>443</v>
      </c>
      <c r="I3" s="99" t="s">
        <v>452</v>
      </c>
      <c r="J3" s="101" t="s">
        <v>483</v>
      </c>
      <c r="K3" s="103" t="s">
        <v>487</v>
      </c>
      <c r="L3" s="107" t="s">
        <v>490</v>
      </c>
      <c r="M3" s="116" t="s">
        <v>545</v>
      </c>
    </row>
    <row r="4" spans="1:13" x14ac:dyDescent="0.15">
      <c r="A4" s="95" t="s">
        <v>423</v>
      </c>
      <c r="B4" s="107" t="s">
        <v>423</v>
      </c>
      <c r="C4" s="95" t="s">
        <v>431</v>
      </c>
      <c r="D4" s="95" t="s">
        <v>440</v>
      </c>
      <c r="E4" s="98" t="s">
        <v>512</v>
      </c>
      <c r="F4" s="107" t="s">
        <v>447</v>
      </c>
      <c r="G4" s="116" t="s">
        <v>539</v>
      </c>
      <c r="H4" s="116" t="s">
        <v>539</v>
      </c>
      <c r="I4" s="99" t="s">
        <v>453</v>
      </c>
      <c r="J4" s="101" t="s">
        <v>484</v>
      </c>
      <c r="K4" s="103" t="s">
        <v>488</v>
      </c>
      <c r="L4" s="107" t="s">
        <v>491</v>
      </c>
      <c r="M4" s="116" t="s">
        <v>546</v>
      </c>
    </row>
    <row r="5" spans="1:13" x14ac:dyDescent="0.15">
      <c r="A5" s="95" t="s">
        <v>424</v>
      </c>
      <c r="B5" s="107" t="s">
        <v>424</v>
      </c>
      <c r="C5" s="116" t="s">
        <v>539</v>
      </c>
      <c r="D5" s="95" t="s">
        <v>441</v>
      </c>
      <c r="E5" s="98" t="s">
        <v>513</v>
      </c>
      <c r="F5" s="107" t="s">
        <v>448</v>
      </c>
      <c r="I5" s="99" t="s">
        <v>454</v>
      </c>
      <c r="J5" s="101" t="s">
        <v>485</v>
      </c>
      <c r="K5" s="116" t="s">
        <v>539</v>
      </c>
      <c r="L5" s="107" t="s">
        <v>492</v>
      </c>
      <c r="M5" s="116" t="s">
        <v>484</v>
      </c>
    </row>
    <row r="6" spans="1:13" x14ac:dyDescent="0.15">
      <c r="A6" s="116" t="s">
        <v>528</v>
      </c>
      <c r="B6" s="116" t="s">
        <v>528</v>
      </c>
      <c r="D6" s="116" t="s">
        <v>539</v>
      </c>
      <c r="E6" s="116" t="s">
        <v>539</v>
      </c>
      <c r="F6" s="116" t="s">
        <v>539</v>
      </c>
      <c r="I6" s="99" t="s">
        <v>455</v>
      </c>
      <c r="J6" s="116" t="s">
        <v>539</v>
      </c>
      <c r="L6" s="107" t="s">
        <v>493</v>
      </c>
      <c r="M6" s="116" t="s">
        <v>483</v>
      </c>
    </row>
    <row r="7" spans="1:13" x14ac:dyDescent="0.15">
      <c r="A7" s="116" t="s">
        <v>529</v>
      </c>
      <c r="B7" s="116" t="s">
        <v>529</v>
      </c>
      <c r="I7" s="99" t="s">
        <v>456</v>
      </c>
      <c r="L7" s="107" t="s">
        <v>494</v>
      </c>
      <c r="M7" s="116" t="s">
        <v>539</v>
      </c>
    </row>
    <row r="8" spans="1:13" x14ac:dyDescent="0.15">
      <c r="A8" s="116" t="s">
        <v>530</v>
      </c>
      <c r="B8" s="116" t="s">
        <v>530</v>
      </c>
      <c r="I8" s="99" t="s">
        <v>457</v>
      </c>
      <c r="L8" s="116" t="s">
        <v>539</v>
      </c>
    </row>
    <row r="9" spans="1:13" x14ac:dyDescent="0.15">
      <c r="A9" s="95" t="s">
        <v>425</v>
      </c>
      <c r="B9" s="107" t="s">
        <v>425</v>
      </c>
      <c r="I9" s="99" t="s">
        <v>458</v>
      </c>
    </row>
    <row r="10" spans="1:13" x14ac:dyDescent="0.15">
      <c r="A10" s="95" t="s">
        <v>426</v>
      </c>
      <c r="B10" s="107" t="s">
        <v>426</v>
      </c>
      <c r="I10" s="99" t="s">
        <v>459</v>
      </c>
    </row>
    <row r="11" spans="1:13" x14ac:dyDescent="0.15">
      <c r="A11" s="117" t="s">
        <v>527</v>
      </c>
      <c r="B11" s="117" t="s">
        <v>527</v>
      </c>
      <c r="H11" s="107"/>
      <c r="I11" s="99" t="s">
        <v>460</v>
      </c>
    </row>
    <row r="12" spans="1:13" x14ac:dyDescent="0.15">
      <c r="A12" s="117" t="s">
        <v>531</v>
      </c>
      <c r="B12" s="117" t="s">
        <v>531</v>
      </c>
      <c r="H12" s="107"/>
      <c r="I12" s="99" t="s">
        <v>461</v>
      </c>
    </row>
    <row r="13" spans="1:13" x14ac:dyDescent="0.15">
      <c r="A13" s="117" t="s">
        <v>532</v>
      </c>
      <c r="B13" s="117" t="s">
        <v>532</v>
      </c>
      <c r="H13" s="107"/>
      <c r="I13" s="99" t="s">
        <v>462</v>
      </c>
    </row>
    <row r="14" spans="1:13" x14ac:dyDescent="0.15">
      <c r="A14" s="95" t="s">
        <v>427</v>
      </c>
      <c r="B14" s="107" t="s">
        <v>427</v>
      </c>
      <c r="H14" s="107"/>
      <c r="I14" s="99" t="s">
        <v>463</v>
      </c>
    </row>
    <row r="15" spans="1:13" x14ac:dyDescent="0.15">
      <c r="B15" s="116"/>
      <c r="H15" s="107"/>
      <c r="I15" s="99" t="s">
        <v>464</v>
      </c>
    </row>
    <row r="16" spans="1:13" x14ac:dyDescent="0.15">
      <c r="B16" s="107"/>
      <c r="H16" s="107"/>
      <c r="I16" s="99" t="s">
        <v>465</v>
      </c>
    </row>
    <row r="17" spans="2:9" x14ac:dyDescent="0.15">
      <c r="B17" s="107"/>
      <c r="H17" s="107"/>
      <c r="I17" s="99" t="s">
        <v>466</v>
      </c>
    </row>
    <row r="18" spans="2:9" x14ac:dyDescent="0.15">
      <c r="B18" s="107"/>
      <c r="H18" s="107"/>
      <c r="I18" s="99" t="s">
        <v>467</v>
      </c>
    </row>
    <row r="19" spans="2:9" x14ac:dyDescent="0.15">
      <c r="B19" s="107"/>
      <c r="H19" s="107"/>
      <c r="I19" s="99" t="s">
        <v>468</v>
      </c>
    </row>
    <row r="20" spans="2:9" x14ac:dyDescent="0.15">
      <c r="B20" s="107"/>
      <c r="H20" s="107"/>
      <c r="I20" s="99" t="s">
        <v>469</v>
      </c>
    </row>
    <row r="21" spans="2:9" x14ac:dyDescent="0.15">
      <c r="B21" s="107"/>
      <c r="H21" s="107"/>
      <c r="I21" s="99" t="s">
        <v>470</v>
      </c>
    </row>
    <row r="22" spans="2:9" x14ac:dyDescent="0.15">
      <c r="B22" s="107"/>
      <c r="H22" s="107"/>
      <c r="I22" s="99" t="s">
        <v>471</v>
      </c>
    </row>
    <row r="23" spans="2:9" x14ac:dyDescent="0.15">
      <c r="B23" s="107"/>
      <c r="H23" s="107"/>
      <c r="I23" s="99" t="s">
        <v>472</v>
      </c>
    </row>
    <row r="24" spans="2:9" x14ac:dyDescent="0.15">
      <c r="B24" s="107"/>
      <c r="H24" s="107"/>
      <c r="I24" s="99" t="s">
        <v>473</v>
      </c>
    </row>
    <row r="25" spans="2:9" x14ac:dyDescent="0.15">
      <c r="B25" s="107"/>
      <c r="H25" s="107"/>
      <c r="I25" s="99" t="s">
        <v>474</v>
      </c>
    </row>
    <row r="26" spans="2:9" x14ac:dyDescent="0.15">
      <c r="H26" s="107"/>
      <c r="I26" s="99" t="s">
        <v>475</v>
      </c>
    </row>
    <row r="27" spans="2:9" x14ac:dyDescent="0.15">
      <c r="H27" s="107"/>
      <c r="I27" s="99" t="s">
        <v>476</v>
      </c>
    </row>
    <row r="28" spans="2:9" x14ac:dyDescent="0.15">
      <c r="H28" s="107"/>
      <c r="I28" s="99" t="s">
        <v>232</v>
      </c>
    </row>
    <row r="29" spans="2:9" x14ac:dyDescent="0.15">
      <c r="H29" s="107"/>
      <c r="I29" s="99" t="s">
        <v>477</v>
      </c>
    </row>
    <row r="30" spans="2:9" x14ac:dyDescent="0.15">
      <c r="H30" s="107"/>
      <c r="I30" s="99" t="s">
        <v>478</v>
      </c>
    </row>
    <row r="31" spans="2:9" x14ac:dyDescent="0.15">
      <c r="H31" s="107"/>
      <c r="I31" s="99" t="s">
        <v>479</v>
      </c>
    </row>
    <row r="32" spans="2:9" x14ac:dyDescent="0.15">
      <c r="H32" s="107"/>
      <c r="I32" s="99" t="s">
        <v>480</v>
      </c>
    </row>
    <row r="33" spans="8:9" x14ac:dyDescent="0.15">
      <c r="H33" s="107"/>
      <c r="I33" s="99" t="s">
        <v>481</v>
      </c>
    </row>
    <row r="34" spans="8:9" x14ac:dyDescent="0.15">
      <c r="H34" s="107"/>
      <c r="I34" s="115" t="s">
        <v>525</v>
      </c>
    </row>
    <row r="35" spans="8:9" x14ac:dyDescent="0.15">
      <c r="I35" s="115" t="s">
        <v>526</v>
      </c>
    </row>
    <row r="36" spans="8:9" x14ac:dyDescent="0.15">
      <c r="I36" s="116" t="s">
        <v>539</v>
      </c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6"/>
  <sheetViews>
    <sheetView workbookViewId="0">
      <selection sqref="A1:A26"/>
    </sheetView>
  </sheetViews>
  <sheetFormatPr baseColWidth="10" defaultColWidth="8.83203125" defaultRowHeight="14" x14ac:dyDescent="0.15"/>
  <sheetData>
    <row r="1" spans="1:1" x14ac:dyDescent="0.15">
      <c r="A1" s="22" t="s">
        <v>35</v>
      </c>
    </row>
    <row r="2" spans="1:1" x14ac:dyDescent="0.15">
      <c r="A2" s="107" t="s">
        <v>87</v>
      </c>
    </row>
    <row r="3" spans="1:1" x14ac:dyDescent="0.15">
      <c r="A3" s="107" t="s">
        <v>88</v>
      </c>
    </row>
    <row r="4" spans="1:1" x14ac:dyDescent="0.15">
      <c r="A4" s="107" t="s">
        <v>89</v>
      </c>
    </row>
    <row r="5" spans="1:1" x14ac:dyDescent="0.15">
      <c r="A5" s="107" t="s">
        <v>90</v>
      </c>
    </row>
    <row r="6" spans="1:1" x14ac:dyDescent="0.15">
      <c r="A6" s="107" t="s">
        <v>91</v>
      </c>
    </row>
    <row r="7" spans="1:1" x14ac:dyDescent="0.15">
      <c r="A7" s="107" t="s">
        <v>92</v>
      </c>
    </row>
    <row r="8" spans="1:1" x14ac:dyDescent="0.15">
      <c r="A8" s="107" t="s">
        <v>93</v>
      </c>
    </row>
    <row r="9" spans="1:1" x14ac:dyDescent="0.15">
      <c r="A9" s="107" t="s">
        <v>94</v>
      </c>
    </row>
    <row r="10" spans="1:1" x14ac:dyDescent="0.15">
      <c r="A10" s="107" t="s">
        <v>95</v>
      </c>
    </row>
    <row r="11" spans="1:1" x14ac:dyDescent="0.15">
      <c r="A11" s="107" t="s">
        <v>96</v>
      </c>
    </row>
    <row r="12" spans="1:1" x14ac:dyDescent="0.15">
      <c r="A12" s="107" t="s">
        <v>97</v>
      </c>
    </row>
    <row r="13" spans="1:1" x14ac:dyDescent="0.15">
      <c r="A13" s="107" t="s">
        <v>98</v>
      </c>
    </row>
    <row r="14" spans="1:1" x14ac:dyDescent="0.15">
      <c r="A14" s="107" t="s">
        <v>99</v>
      </c>
    </row>
    <row r="15" spans="1:1" x14ac:dyDescent="0.15">
      <c r="A15" s="107" t="s">
        <v>100</v>
      </c>
    </row>
    <row r="16" spans="1:1" x14ac:dyDescent="0.15">
      <c r="A16" s="107" t="s">
        <v>101</v>
      </c>
    </row>
    <row r="17" spans="1:1" x14ac:dyDescent="0.15">
      <c r="A17" s="107" t="s">
        <v>102</v>
      </c>
    </row>
    <row r="18" spans="1:1" x14ac:dyDescent="0.15">
      <c r="A18" s="107" t="s">
        <v>103</v>
      </c>
    </row>
    <row r="19" spans="1:1" x14ac:dyDescent="0.15">
      <c r="A19" s="107" t="s">
        <v>104</v>
      </c>
    </row>
    <row r="20" spans="1:1" x14ac:dyDescent="0.15">
      <c r="A20" s="107" t="s">
        <v>105</v>
      </c>
    </row>
    <row r="21" spans="1:1" x14ac:dyDescent="0.15">
      <c r="A21" s="107" t="s">
        <v>106</v>
      </c>
    </row>
    <row r="22" spans="1:1" x14ac:dyDescent="0.15">
      <c r="A22" s="107" t="s">
        <v>108</v>
      </c>
    </row>
    <row r="23" spans="1:1" x14ac:dyDescent="0.15">
      <c r="A23" s="107" t="s">
        <v>109</v>
      </c>
    </row>
    <row r="24" spans="1:1" x14ac:dyDescent="0.15">
      <c r="A24" s="107" t="s">
        <v>110</v>
      </c>
    </row>
    <row r="25" spans="1:1" x14ac:dyDescent="0.15">
      <c r="A25" s="107" t="s">
        <v>107</v>
      </c>
    </row>
    <row r="26" spans="1:1" x14ac:dyDescent="0.15">
      <c r="A26" s="10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1"/>
  <sheetViews>
    <sheetView topLeftCell="U1" workbookViewId="0">
      <selection activeCell="V1" sqref="V1"/>
    </sheetView>
  </sheetViews>
  <sheetFormatPr baseColWidth="10" defaultColWidth="8.83203125" defaultRowHeight="14" x14ac:dyDescent="0.15"/>
  <cols>
    <col min="1" max="1" width="17" bestFit="1" customWidth="1"/>
    <col min="2" max="2" width="19.83203125" bestFit="1" customWidth="1"/>
    <col min="3" max="3" width="17.83203125" bestFit="1" customWidth="1"/>
    <col min="4" max="4" width="25.1640625" bestFit="1" customWidth="1"/>
    <col min="5" max="5" width="19.83203125" bestFit="1" customWidth="1"/>
    <col min="6" max="6" width="23.5" bestFit="1" customWidth="1"/>
    <col min="7" max="7" width="27.1640625" bestFit="1" customWidth="1"/>
    <col min="8" max="9" width="19.83203125" bestFit="1" customWidth="1"/>
    <col min="10" max="10" width="16.1640625" bestFit="1" customWidth="1"/>
    <col min="11" max="11" width="22.5" bestFit="1" customWidth="1"/>
    <col min="12" max="12" width="16.5" bestFit="1" customWidth="1"/>
    <col min="13" max="13" width="29.83203125" bestFit="1" customWidth="1"/>
    <col min="14" max="14" width="33.5" bestFit="1" customWidth="1"/>
    <col min="15" max="15" width="36.1640625" bestFit="1" customWidth="1"/>
    <col min="16" max="17" width="19.83203125" bestFit="1" customWidth="1"/>
    <col min="18" max="18" width="21.5" bestFit="1" customWidth="1"/>
    <col min="19" max="19" width="12.5" bestFit="1" customWidth="1"/>
    <col min="20" max="20" width="21.1640625" bestFit="1" customWidth="1"/>
    <col min="21" max="21" width="27.5" bestFit="1" customWidth="1"/>
    <col min="22" max="22" width="34.6640625" bestFit="1" customWidth="1"/>
    <col min="23" max="23" width="20.1640625" bestFit="1" customWidth="1"/>
    <col min="24" max="24" width="17" bestFit="1" customWidth="1"/>
    <col min="25" max="25" width="25.1640625" bestFit="1" customWidth="1"/>
    <col min="26" max="26" width="19.83203125" bestFit="1" customWidth="1"/>
    <col min="27" max="28" width="25.1640625" bestFit="1" customWidth="1"/>
    <col min="29" max="29" width="21.5" bestFit="1" customWidth="1"/>
    <col min="30" max="30" width="34.33203125" bestFit="1" customWidth="1"/>
    <col min="31" max="31" width="19.83203125" bestFit="1" customWidth="1"/>
    <col min="32" max="32" width="21.5" bestFit="1" customWidth="1"/>
    <col min="33" max="33" width="23.5" bestFit="1" customWidth="1"/>
    <col min="34" max="34" width="32.5" bestFit="1" customWidth="1"/>
    <col min="35" max="36" width="22.5" bestFit="1" customWidth="1"/>
    <col min="37" max="37" width="28.83203125" bestFit="1" customWidth="1"/>
    <col min="38" max="38" width="23.5" bestFit="1" customWidth="1"/>
    <col min="39" max="39" width="24.1640625" bestFit="1" customWidth="1"/>
    <col min="40" max="40" width="12.5" bestFit="1" customWidth="1"/>
  </cols>
  <sheetData>
    <row r="1" spans="1:41" x14ac:dyDescent="0.15">
      <c r="A1" t="s">
        <v>419</v>
      </c>
      <c r="B1" t="s">
        <v>420</v>
      </c>
      <c r="C1" t="s">
        <v>46</v>
      </c>
      <c r="D1" t="s">
        <v>47</v>
      </c>
      <c r="E1" t="s">
        <v>48</v>
      </c>
      <c r="F1" t="s">
        <v>49</v>
      </c>
      <c r="G1" t="s">
        <v>509</v>
      </c>
      <c r="H1" t="s">
        <v>50</v>
      </c>
      <c r="I1" t="s">
        <v>51</v>
      </c>
      <c r="J1" t="s">
        <v>52</v>
      </c>
      <c r="K1" t="s">
        <v>53</v>
      </c>
      <c r="L1" t="s">
        <v>540</v>
      </c>
      <c r="M1" t="s">
        <v>54</v>
      </c>
      <c r="N1" t="s">
        <v>55</v>
      </c>
      <c r="O1" t="s">
        <v>56</v>
      </c>
      <c r="P1" t="s">
        <v>57</v>
      </c>
      <c r="Q1" t="s">
        <v>58</v>
      </c>
      <c r="R1" t="s">
        <v>59</v>
      </c>
      <c r="S1" t="s">
        <v>60</v>
      </c>
      <c r="T1" t="s">
        <v>61</v>
      </c>
      <c r="U1" t="s">
        <v>62</v>
      </c>
      <c r="V1" t="s">
        <v>63</v>
      </c>
      <c r="W1" t="s">
        <v>541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539</v>
      </c>
    </row>
    <row r="2" spans="1:41" x14ac:dyDescent="0.15">
      <c r="A2" s="95" t="s">
        <v>181</v>
      </c>
      <c r="B2" s="95" t="s">
        <v>185</v>
      </c>
      <c r="C2" s="95" t="s">
        <v>191</v>
      </c>
      <c r="D2" s="95" t="s">
        <v>197</v>
      </c>
      <c r="E2" s="95" t="s">
        <v>204</v>
      </c>
      <c r="F2" s="95" t="s">
        <v>208</v>
      </c>
      <c r="G2" s="95" t="s">
        <v>212</v>
      </c>
      <c r="H2" s="95" t="s">
        <v>220</v>
      </c>
      <c r="I2" s="95" t="s">
        <v>226</v>
      </c>
      <c r="J2" s="116" t="s">
        <v>539</v>
      </c>
      <c r="K2" s="95" t="s">
        <v>228</v>
      </c>
      <c r="L2" s="95" t="s">
        <v>232</v>
      </c>
      <c r="M2" s="95" t="s">
        <v>239</v>
      </c>
      <c r="N2" s="95" t="s">
        <v>258</v>
      </c>
      <c r="O2" s="95" t="s">
        <v>266</v>
      </c>
      <c r="P2" s="95" t="s">
        <v>273</v>
      </c>
      <c r="Q2" s="95" t="s">
        <v>279</v>
      </c>
      <c r="R2" s="95" t="s">
        <v>284</v>
      </c>
      <c r="S2" s="95" t="s">
        <v>293</v>
      </c>
      <c r="T2" s="95" t="s">
        <v>296</v>
      </c>
      <c r="U2" t="s">
        <v>297</v>
      </c>
      <c r="V2" s="95" t="s">
        <v>301</v>
      </c>
      <c r="W2" s="95" t="s">
        <v>308</v>
      </c>
      <c r="X2" s="95" t="s">
        <v>310</v>
      </c>
      <c r="Y2" s="95" t="s">
        <v>314</v>
      </c>
      <c r="Z2" s="95" t="s">
        <v>316</v>
      </c>
      <c r="AA2" s="95" t="s">
        <v>325</v>
      </c>
      <c r="AB2" s="95" t="s">
        <v>329</v>
      </c>
      <c r="AC2" s="95" t="s">
        <v>336</v>
      </c>
      <c r="AD2" s="95" t="s">
        <v>341</v>
      </c>
      <c r="AE2" s="95" t="s">
        <v>354</v>
      </c>
      <c r="AF2" s="95" t="s">
        <v>362</v>
      </c>
      <c r="AG2" s="95" t="s">
        <v>365</v>
      </c>
      <c r="AH2" s="95" t="s">
        <v>373</v>
      </c>
      <c r="AI2" s="95" t="s">
        <v>378</v>
      </c>
      <c r="AJ2" s="95" t="s">
        <v>394</v>
      </c>
      <c r="AK2" s="95" t="s">
        <v>398</v>
      </c>
      <c r="AL2" s="95" t="s">
        <v>402</v>
      </c>
      <c r="AM2" s="95" t="s">
        <v>411</v>
      </c>
      <c r="AN2" s="95" t="s">
        <v>416</v>
      </c>
    </row>
    <row r="3" spans="1:41" x14ac:dyDescent="0.15">
      <c r="A3" s="95" t="s">
        <v>182</v>
      </c>
      <c r="B3" s="95" t="s">
        <v>186</v>
      </c>
      <c r="C3" s="95" t="s">
        <v>192</v>
      </c>
      <c r="D3" s="95" t="s">
        <v>198</v>
      </c>
      <c r="E3" s="95" t="s">
        <v>205</v>
      </c>
      <c r="F3" s="95" t="s">
        <v>209</v>
      </c>
      <c r="G3" s="95" t="s">
        <v>213</v>
      </c>
      <c r="H3" s="95" t="s">
        <v>221</v>
      </c>
      <c r="I3" s="95" t="s">
        <v>227</v>
      </c>
      <c r="K3" s="95" t="s">
        <v>229</v>
      </c>
      <c r="L3" s="95" t="s">
        <v>233</v>
      </c>
      <c r="M3" s="95" t="s">
        <v>240</v>
      </c>
      <c r="N3" s="95" t="s">
        <v>259</v>
      </c>
      <c r="O3" s="95" t="s">
        <v>267</v>
      </c>
      <c r="P3" s="95" t="s">
        <v>274</v>
      </c>
      <c r="Q3" s="95" t="s">
        <v>280</v>
      </c>
      <c r="R3" s="95" t="s">
        <v>285</v>
      </c>
      <c r="S3" s="95" t="s">
        <v>294</v>
      </c>
      <c r="T3" s="116" t="s">
        <v>539</v>
      </c>
      <c r="U3" t="s">
        <v>298</v>
      </c>
      <c r="V3" s="95" t="s">
        <v>302</v>
      </c>
      <c r="W3" s="95" t="s">
        <v>309</v>
      </c>
      <c r="X3" s="95" t="s">
        <v>311</v>
      </c>
      <c r="Y3" s="95" t="s">
        <v>315</v>
      </c>
      <c r="Z3" s="95" t="s">
        <v>317</v>
      </c>
      <c r="AA3" s="95" t="s">
        <v>326</v>
      </c>
      <c r="AB3" s="95" t="s">
        <v>330</v>
      </c>
      <c r="AC3" s="95" t="s">
        <v>337</v>
      </c>
      <c r="AD3" s="95" t="s">
        <v>342</v>
      </c>
      <c r="AE3" s="95" t="s">
        <v>355</v>
      </c>
      <c r="AF3" s="95" t="s">
        <v>363</v>
      </c>
      <c r="AG3" s="95" t="s">
        <v>366</v>
      </c>
      <c r="AH3" s="95" t="s">
        <v>374</v>
      </c>
      <c r="AI3" s="95" t="s">
        <v>379</v>
      </c>
      <c r="AJ3" s="95" t="s">
        <v>395</v>
      </c>
      <c r="AK3" s="95" t="s">
        <v>399</v>
      </c>
      <c r="AL3" s="95" t="s">
        <v>403</v>
      </c>
      <c r="AM3" s="95" t="s">
        <v>412</v>
      </c>
      <c r="AN3" s="95" t="s">
        <v>417</v>
      </c>
    </row>
    <row r="4" spans="1:41" x14ac:dyDescent="0.15">
      <c r="A4" s="95" t="s">
        <v>183</v>
      </c>
      <c r="B4" s="95" t="s">
        <v>187</v>
      </c>
      <c r="C4" s="95" t="s">
        <v>193</v>
      </c>
      <c r="D4" s="95" t="s">
        <v>199</v>
      </c>
      <c r="E4" s="95" t="s">
        <v>206</v>
      </c>
      <c r="F4" s="95" t="s">
        <v>210</v>
      </c>
      <c r="G4" s="95" t="s">
        <v>214</v>
      </c>
      <c r="H4" s="95" t="s">
        <v>222</v>
      </c>
      <c r="I4" s="116" t="s">
        <v>539</v>
      </c>
      <c r="K4" s="95" t="s">
        <v>230</v>
      </c>
      <c r="L4" s="95" t="s">
        <v>234</v>
      </c>
      <c r="M4" s="95" t="s">
        <v>241</v>
      </c>
      <c r="N4" s="95" t="s">
        <v>260</v>
      </c>
      <c r="O4" s="95" t="s">
        <v>268</v>
      </c>
      <c r="P4" s="95" t="s">
        <v>275</v>
      </c>
      <c r="Q4" s="95" t="s">
        <v>281</v>
      </c>
      <c r="R4" s="95" t="s">
        <v>286</v>
      </c>
      <c r="S4" s="95" t="s">
        <v>295</v>
      </c>
      <c r="U4" t="s">
        <v>299</v>
      </c>
      <c r="V4" t="s">
        <v>303</v>
      </c>
      <c r="W4" t="s">
        <v>539</v>
      </c>
      <c r="X4" s="95" t="s">
        <v>312</v>
      </c>
      <c r="Y4" t="s">
        <v>539</v>
      </c>
      <c r="Z4" s="95" t="s">
        <v>318</v>
      </c>
      <c r="AA4" s="95" t="s">
        <v>327</v>
      </c>
      <c r="AB4" s="95" t="s">
        <v>331</v>
      </c>
      <c r="AC4" s="95" t="s">
        <v>338</v>
      </c>
      <c r="AD4" s="95" t="s">
        <v>343</v>
      </c>
      <c r="AE4" s="95" t="s">
        <v>356</v>
      </c>
      <c r="AF4" s="95" t="s">
        <v>364</v>
      </c>
      <c r="AG4" s="95" t="s">
        <v>367</v>
      </c>
      <c r="AH4" s="95" t="s">
        <v>375</v>
      </c>
      <c r="AI4" s="95" t="s">
        <v>380</v>
      </c>
      <c r="AJ4" s="95" t="s">
        <v>396</v>
      </c>
      <c r="AK4" s="95" t="s">
        <v>400</v>
      </c>
      <c r="AL4" s="95" t="s">
        <v>404</v>
      </c>
      <c r="AM4" s="95" t="s">
        <v>413</v>
      </c>
      <c r="AN4" s="95" t="s">
        <v>418</v>
      </c>
    </row>
    <row r="5" spans="1:41" x14ac:dyDescent="0.15">
      <c r="A5" s="95" t="s">
        <v>184</v>
      </c>
      <c r="B5" s="95" t="s">
        <v>188</v>
      </c>
      <c r="C5" s="95" t="s">
        <v>194</v>
      </c>
      <c r="D5" s="95" t="s">
        <v>200</v>
      </c>
      <c r="E5" s="95" t="s">
        <v>207</v>
      </c>
      <c r="F5" s="95" t="s">
        <v>211</v>
      </c>
      <c r="G5" s="95" t="s">
        <v>215</v>
      </c>
      <c r="H5" s="95" t="s">
        <v>223</v>
      </c>
      <c r="K5" s="95" t="s">
        <v>231</v>
      </c>
      <c r="L5" s="95" t="s">
        <v>235</v>
      </c>
      <c r="M5" s="95" t="s">
        <v>242</v>
      </c>
      <c r="N5" s="95" t="s">
        <v>261</v>
      </c>
      <c r="O5" s="95" t="s">
        <v>269</v>
      </c>
      <c r="P5" s="95" t="s">
        <v>276</v>
      </c>
      <c r="Q5" s="95" t="s">
        <v>282</v>
      </c>
      <c r="R5" s="95" t="s">
        <v>287</v>
      </c>
      <c r="S5" s="116" t="s">
        <v>539</v>
      </c>
      <c r="U5" t="s">
        <v>300</v>
      </c>
      <c r="V5" t="s">
        <v>304</v>
      </c>
      <c r="X5" s="95" t="s">
        <v>313</v>
      </c>
      <c r="Z5" s="95" t="s">
        <v>319</v>
      </c>
      <c r="AA5" s="95" t="s">
        <v>328</v>
      </c>
      <c r="AB5" s="95" t="s">
        <v>332</v>
      </c>
      <c r="AC5" s="95" t="s">
        <v>339</v>
      </c>
      <c r="AD5" s="95" t="s">
        <v>344</v>
      </c>
      <c r="AE5" s="95" t="s">
        <v>357</v>
      </c>
      <c r="AF5" s="116" t="s">
        <v>539</v>
      </c>
      <c r="AG5" s="95" t="s">
        <v>368</v>
      </c>
      <c r="AH5" s="95" t="s">
        <v>376</v>
      </c>
      <c r="AI5" s="95" t="s">
        <v>381</v>
      </c>
      <c r="AJ5" s="95" t="s">
        <v>397</v>
      </c>
      <c r="AK5" s="95" t="s">
        <v>401</v>
      </c>
      <c r="AL5" s="95" t="s">
        <v>405</v>
      </c>
      <c r="AM5" s="95" t="s">
        <v>414</v>
      </c>
      <c r="AN5" s="116" t="s">
        <v>539</v>
      </c>
    </row>
    <row r="6" spans="1:41" x14ac:dyDescent="0.15">
      <c r="A6" s="95" t="s">
        <v>180</v>
      </c>
      <c r="B6" s="95" t="s">
        <v>189</v>
      </c>
      <c r="C6" s="95" t="s">
        <v>195</v>
      </c>
      <c r="D6" s="95" t="s">
        <v>201</v>
      </c>
      <c r="E6" s="116" t="s">
        <v>539</v>
      </c>
      <c r="F6" s="116" t="s">
        <v>539</v>
      </c>
      <c r="G6" s="95" t="s">
        <v>216</v>
      </c>
      <c r="H6" s="95" t="s">
        <v>224</v>
      </c>
      <c r="K6" s="116" t="s">
        <v>539</v>
      </c>
      <c r="L6" s="95" t="s">
        <v>236</v>
      </c>
      <c r="M6" s="95" t="s">
        <v>243</v>
      </c>
      <c r="N6" s="95" t="s">
        <v>262</v>
      </c>
      <c r="O6" s="95" t="s">
        <v>270</v>
      </c>
      <c r="P6" s="95" t="s">
        <v>277</v>
      </c>
      <c r="Q6" s="95" t="s">
        <v>283</v>
      </c>
      <c r="R6" s="95" t="s">
        <v>288</v>
      </c>
      <c r="U6" s="116" t="s">
        <v>539</v>
      </c>
      <c r="V6" t="s">
        <v>305</v>
      </c>
      <c r="X6" s="116" t="s">
        <v>539</v>
      </c>
      <c r="Z6" s="95" t="s">
        <v>320</v>
      </c>
      <c r="AA6" s="116" t="s">
        <v>539</v>
      </c>
      <c r="AB6" s="95" t="s">
        <v>333</v>
      </c>
      <c r="AC6" s="95" t="s">
        <v>340</v>
      </c>
      <c r="AD6" s="95" t="s">
        <v>345</v>
      </c>
      <c r="AE6" s="95" t="s">
        <v>358</v>
      </c>
      <c r="AG6" s="95" t="s">
        <v>369</v>
      </c>
      <c r="AH6" s="95" t="s">
        <v>377</v>
      </c>
      <c r="AI6" s="95" t="s">
        <v>382</v>
      </c>
      <c r="AJ6" s="116" t="s">
        <v>539</v>
      </c>
      <c r="AK6" s="116" t="s">
        <v>539</v>
      </c>
      <c r="AL6" s="95" t="s">
        <v>406</v>
      </c>
      <c r="AM6" s="95" t="s">
        <v>415</v>
      </c>
    </row>
    <row r="7" spans="1:41" x14ac:dyDescent="0.15">
      <c r="A7" s="116" t="s">
        <v>539</v>
      </c>
      <c r="B7" s="95" t="s">
        <v>190</v>
      </c>
      <c r="C7" s="95" t="s">
        <v>196</v>
      </c>
      <c r="D7" s="95" t="s">
        <v>202</v>
      </c>
      <c r="G7" s="95" t="s">
        <v>217</v>
      </c>
      <c r="H7" s="95" t="s">
        <v>225</v>
      </c>
      <c r="L7" s="95" t="s">
        <v>237</v>
      </c>
      <c r="M7" s="95" t="s">
        <v>244</v>
      </c>
      <c r="N7" s="95" t="s">
        <v>263</v>
      </c>
      <c r="O7" s="95" t="s">
        <v>271</v>
      </c>
      <c r="P7" s="95" t="s">
        <v>278</v>
      </c>
      <c r="Q7" s="116" t="s">
        <v>539</v>
      </c>
      <c r="R7" s="95" t="s">
        <v>289</v>
      </c>
      <c r="V7" s="95" t="s">
        <v>306</v>
      </c>
      <c r="Z7" s="95" t="s">
        <v>321</v>
      </c>
      <c r="AB7" s="95" t="s">
        <v>334</v>
      </c>
      <c r="AC7" s="116" t="s">
        <v>539</v>
      </c>
      <c r="AD7" s="95" t="s">
        <v>346</v>
      </c>
      <c r="AE7" s="95" t="s">
        <v>359</v>
      </c>
      <c r="AG7" s="95" t="s">
        <v>370</v>
      </c>
      <c r="AH7" s="116" t="s">
        <v>539</v>
      </c>
      <c r="AI7" s="95" t="s">
        <v>383</v>
      </c>
      <c r="AL7" s="95" t="s">
        <v>407</v>
      </c>
      <c r="AM7" s="116" t="s">
        <v>539</v>
      </c>
    </row>
    <row r="8" spans="1:41" x14ac:dyDescent="0.15">
      <c r="B8" s="116" t="s">
        <v>539</v>
      </c>
      <c r="C8" s="116" t="s">
        <v>539</v>
      </c>
      <c r="D8" s="95" t="s">
        <v>203</v>
      </c>
      <c r="G8" s="95" t="s">
        <v>218</v>
      </c>
      <c r="H8" s="116" t="s">
        <v>539</v>
      </c>
      <c r="L8" s="95" t="s">
        <v>238</v>
      </c>
      <c r="M8" s="95" t="s">
        <v>245</v>
      </c>
      <c r="N8" s="95" t="s">
        <v>264</v>
      </c>
      <c r="O8" s="95" t="s">
        <v>272</v>
      </c>
      <c r="P8" s="116" t="s">
        <v>539</v>
      </c>
      <c r="R8" s="95" t="s">
        <v>290</v>
      </c>
      <c r="V8" s="95" t="s">
        <v>307</v>
      </c>
      <c r="Z8" s="95" t="s">
        <v>322</v>
      </c>
      <c r="AB8" s="95" t="s">
        <v>335</v>
      </c>
      <c r="AD8" s="95" t="s">
        <v>347</v>
      </c>
      <c r="AE8" s="95" t="s">
        <v>360</v>
      </c>
      <c r="AG8" s="95" t="s">
        <v>371</v>
      </c>
      <c r="AI8" s="95" t="s">
        <v>384</v>
      </c>
      <c r="AL8" s="95" t="s">
        <v>408</v>
      </c>
    </row>
    <row r="9" spans="1:41" x14ac:dyDescent="0.15">
      <c r="D9" s="116" t="s">
        <v>539</v>
      </c>
      <c r="G9" s="95" t="s">
        <v>219</v>
      </c>
      <c r="L9" s="116" t="s">
        <v>539</v>
      </c>
      <c r="M9" s="95" t="s">
        <v>246</v>
      </c>
      <c r="N9" s="95" t="s">
        <v>265</v>
      </c>
      <c r="O9" s="116" t="s">
        <v>539</v>
      </c>
      <c r="R9" s="95" t="s">
        <v>291</v>
      </c>
      <c r="V9" t="s">
        <v>539</v>
      </c>
      <c r="Z9" s="95" t="s">
        <v>323</v>
      </c>
      <c r="AB9" s="116" t="s">
        <v>539</v>
      </c>
      <c r="AD9" s="95" t="s">
        <v>348</v>
      </c>
      <c r="AE9" s="95" t="s">
        <v>361</v>
      </c>
      <c r="AG9" s="95" t="s">
        <v>372</v>
      </c>
      <c r="AI9" s="95" t="s">
        <v>385</v>
      </c>
      <c r="AL9" s="95" t="s">
        <v>409</v>
      </c>
    </row>
    <row r="10" spans="1:41" x14ac:dyDescent="0.15">
      <c r="G10" s="116" t="s">
        <v>539</v>
      </c>
      <c r="M10" s="95" t="s">
        <v>247</v>
      </c>
      <c r="N10" s="116" t="s">
        <v>539</v>
      </c>
      <c r="R10" s="95" t="s">
        <v>292</v>
      </c>
      <c r="Z10" s="95" t="s">
        <v>324</v>
      </c>
      <c r="AD10" s="95" t="s">
        <v>349</v>
      </c>
      <c r="AE10" s="116" t="s">
        <v>539</v>
      </c>
      <c r="AG10" s="116" t="s">
        <v>539</v>
      </c>
      <c r="AI10" s="95" t="s">
        <v>386</v>
      </c>
      <c r="AL10" s="95" t="s">
        <v>410</v>
      </c>
    </row>
    <row r="11" spans="1:41" x14ac:dyDescent="0.15">
      <c r="M11" s="95" t="s">
        <v>248</v>
      </c>
      <c r="R11" s="116" t="s">
        <v>539</v>
      </c>
      <c r="Z11" s="116" t="s">
        <v>539</v>
      </c>
      <c r="AD11" s="95" t="s">
        <v>350</v>
      </c>
      <c r="AI11" s="95" t="s">
        <v>387</v>
      </c>
      <c r="AL11" s="116" t="s">
        <v>539</v>
      </c>
    </row>
    <row r="12" spans="1:41" x14ac:dyDescent="0.15">
      <c r="M12" s="95" t="s">
        <v>249</v>
      </c>
      <c r="AD12" s="95" t="s">
        <v>351</v>
      </c>
      <c r="AI12" s="95" t="s">
        <v>388</v>
      </c>
    </row>
    <row r="13" spans="1:41" x14ac:dyDescent="0.15">
      <c r="M13" s="95" t="s">
        <v>250</v>
      </c>
      <c r="AD13" s="95" t="s">
        <v>352</v>
      </c>
      <c r="AI13" s="95" t="s">
        <v>389</v>
      </c>
    </row>
    <row r="14" spans="1:41" x14ac:dyDescent="0.15">
      <c r="M14" s="95" t="s">
        <v>251</v>
      </c>
      <c r="AD14" s="95" t="s">
        <v>353</v>
      </c>
      <c r="AI14" s="95" t="s">
        <v>390</v>
      </c>
    </row>
    <row r="15" spans="1:41" x14ac:dyDescent="0.15">
      <c r="M15" s="95" t="s">
        <v>252</v>
      </c>
      <c r="AD15" s="116" t="s">
        <v>539</v>
      </c>
      <c r="AI15" s="95" t="s">
        <v>391</v>
      </c>
    </row>
    <row r="16" spans="1:41" x14ac:dyDescent="0.15">
      <c r="M16" s="95" t="s">
        <v>253</v>
      </c>
      <c r="AI16" s="95" t="s">
        <v>392</v>
      </c>
    </row>
    <row r="17" spans="13:35" x14ac:dyDescent="0.15">
      <c r="M17" s="95" t="s">
        <v>254</v>
      </c>
      <c r="AI17" s="95" t="s">
        <v>393</v>
      </c>
    </row>
    <row r="18" spans="13:35" x14ac:dyDescent="0.15">
      <c r="M18" s="95" t="s">
        <v>255</v>
      </c>
      <c r="AI18" s="116" t="s">
        <v>539</v>
      </c>
    </row>
    <row r="19" spans="13:35" x14ac:dyDescent="0.15">
      <c r="M19" s="95" t="s">
        <v>256</v>
      </c>
    </row>
    <row r="20" spans="13:35" x14ac:dyDescent="0.15">
      <c r="M20" s="95" t="s">
        <v>257</v>
      </c>
    </row>
    <row r="21" spans="13:35" x14ac:dyDescent="0.15">
      <c r="M21" s="116" t="s">
        <v>539</v>
      </c>
    </row>
  </sheetData>
  <phoneticPr fontId="37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Asset List</vt:lpstr>
      <vt:lpstr>Org List</vt:lpstr>
      <vt:lpstr>User List</vt:lpstr>
      <vt:lpstr>必填字段检查表</vt:lpstr>
      <vt:lpstr>必填字段填写说明</vt:lpstr>
      <vt:lpstr>设备分类</vt:lpstr>
      <vt:lpstr>OldType</vt:lpstr>
      <vt:lpstr>设备68码分类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Luan, Da (GE Healthcare)</dc:creator>
  <cp:lastModifiedBy>Microsoft Office User</cp:lastModifiedBy>
  <dcterms:created xsi:type="dcterms:W3CDTF">2016-10-06T00:09:35Z</dcterms:created>
  <dcterms:modified xsi:type="dcterms:W3CDTF">2018-03-19T09:03:42Z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9fda222b-26ae-43fd-a1d0-2ed61f05bfc7</vt:lpwstr>
  </property>
</Properties>
</file>