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<sst xmlns="http://schemas.openxmlformats.org/spreadsheetml/2006/main" count="671" uniqueCount="545">
  <si>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</si>
  <si>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</si>
  <si>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</si>
  <si>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</si>
  <si>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</si>
  <si>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</si>
  <si>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</si>
  <si>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</si>
  <si>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</si>
  <si>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</si>
  <si>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</si>
  <si>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</si>
  <si>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</si>
  <si>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</si>
  <si>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</si>
  <si>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</si>
  <si>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</si>
  <si>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</si>
  <si>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</si>
  <si>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</si>
  <si>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</si>
  <si>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</si>
  <si>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</si>
  <si>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</si>
  <si>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</si>
  <si>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</si>
  <si>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</si>
  <si>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</si>
  <si>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</si>
  <si>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</si>
  <si>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</si>
  <si>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</si>
  <si>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</si>
  <si>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</si>
  <si>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</si>
  <si>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</si>
  <si>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</si>
  <si>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</si>
  <si>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</si>
  <si>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</si>
  <si>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</si>
  <si>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</si>
  <si>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</si>
  <si>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</si>
  <si>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</si>
  <si>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</si>
  <si>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</si>
  <si>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</si>
  <si>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</si>
  <si>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</si>
  <si>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</si>
  <si>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</si>
  <si>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</si>
  <si>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</si>
  <si>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</si>
  <si>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</si>
  <si>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</si>
  <si>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</si>
  <si>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</si>
  <si>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</si>
  <si>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</si>
  <si>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</si>
  <si>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</si>
  <si>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</si>
  <si>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</si>
  <si>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</si>
  <si>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</si>
  <si>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</si>
  <si>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</si>
  <si>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</si>
  <si>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</si>
  <si>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</si>
  <si>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</si>
  <si>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</si>
  <si>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</si>
  <si>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</si>
  <si>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</si>
  <si>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</si>
  <si>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</si>
  <si>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</si>
  <si>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</si>
  <si>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</si>
  <si>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</si>
  <si>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</si>
  <si>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</si>
  <si>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</si>
  <si>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</si>
  <si>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</si>
  <si>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</si>
  <si>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</si>
  <si>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</si>
  <si>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</si>
  <si>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</si>
  <si>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</si>
  <si>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</si>
  <si>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</si>
  <si>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</si>
  <si>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</si>
  <si>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</si>
  <si>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</si>
  <si>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</si>
  <si>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</si>
  <si>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</si>
  <si>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</si>
  <si>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</si>
  <si>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</si>
  <si>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</si>
  <si>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</si>
  <si>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</si>
  <si>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</si>
  <si>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</si>
  <si>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</si>
  <si>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</si>
  <si>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</si>
  <si>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</si>
  <si>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</si>
  <si>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</si>
  <si>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</si>
  <si>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</si>
  <si>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</si>
  <si>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</si>
  <si>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</si>
  <si>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</si>
  <si>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</si>
  <si>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</si>
  <si>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</si>
  <si>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</si>
  <si>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</si>
  <si>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</si>
  <si>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</si>
  <si>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</si>
  <si>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</si>
  <si>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</si>
  <si>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</si>
  <si>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</si>
  <si>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</si>
  <si>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</si>
  <si>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</si>
  <si>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</si>
  <si>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</si>
  <si>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</si>
  <si>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</si>
  <si>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</si>
  <si>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</si>
  <si>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</si>
  <si>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</si>
  <si>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</si>
  <si>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</si>
  <si>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</si>
  <si>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</si>
  <si>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</si>
  <si>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</si>
  <si>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</si>
  <si>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</si>
  <si>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</si>
  <si>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</si>
  <si>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</si>
  <si>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</si>
  <si>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</si>
  <si>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</si>
  <si>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</si>
  <si>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</si>
  <si>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</si>
  <si>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</si>
  <si>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</si>
  <si>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</si>
  <si>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</si>
  <si>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</si>
  <si>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</si>
  <si>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</si>
  <si>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</si>
  <si>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</si>
  <si>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</si>
  <si>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</si>
  <si>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</si>
  <si>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</si>
  <si>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</si>
  <si>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</si>
  <si>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</si>
  <si>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</si>
  <si>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</si>
  <si>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</si>
  <si>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</si>
  <si>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</si>
  <si>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</si>
  <si>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</si>
  <si>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</si>
  <si>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</si>
  <si>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</si>
  <si>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</si>
  <si>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</si>
  <si>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</si>
  <si>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</si>
  <si>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</si>
  <si>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</si>
  <si>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</si>
  <si>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</si>
  <si>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</si>
  <si>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</si>
  <si>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</si>
  <si>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</si>
  <si>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</si>
  <si>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</si>
  <si>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</si>
  <si>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</si>
  <si>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</si>
  <si>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</si>
  <si>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</si>
  <si>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</si>
  <si>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</si>
  <si>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</si>
  <si>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</si>
  <si>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</si>
  <si>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</si>
  <si>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</si>
  <si>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</si>
  <si>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</si>
  <si>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</si>
  <si>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</si>
  <si>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</si>
  <si>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</si>
  <si>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</si>
  <si>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</si>
  <si>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</si>
  <si>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</si>
  <si>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</si>
  <si>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</si>
  <si>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</si>
  <si>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</si>
  <si>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</si>
  <si>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</si>
  <si>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</si>
  <si>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</si>
  <si>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</si>
  <si>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</si>
  <si>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</si>
  <si>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</si>
  <si>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</si>
  <si>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</si>
  <si>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</si>
  <si>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</si>
  <si>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</si>
  <si>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</si>
  <si>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</si>
  <si>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</si>
  <si>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</si>
  <si>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</si>
  <si>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</si>
  <si>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</si>
  <si>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</si>
  <si>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</si>
  <si>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</si>
  <si>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</si>
  <si>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</si>
  <si>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</si>
  <si>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</si>
  <si>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</si>
  <si>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</si>
  <si>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</si>
  <si>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</si>
  <si>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</si>
  <si>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</si>
  <si>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</si>
  <si>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</si>
  <si>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</si>
  <si>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</si>
  <si>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</si>
  <si>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</si>
  <si>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</si>
  <si>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</si>
  <si>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</si>
  <si>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</si>
  <si>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</si>
  <si>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</si>
  <si>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</si>
  <si>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</si>
  <si>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</si>
  <si>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</si>
  <si>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</si>
  <si>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</si>
  <si>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</si>
  <si>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</si>
  <si>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</si>
  <si>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</si>
  <si>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</si>
  <si>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</si>
  <si>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</si>
  <si>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</si>
  <si>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</si>
  <si>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</si>
  <si>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</si>
  <si>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</si>
  <si>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</si>
  <si>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</si>
  <si>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</si>
  <si>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</si>
  <si>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</si>
  <si>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</si>
  <si>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</si>
  <si>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</si>
  <si>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</si>
  <si>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</si>
  <si>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</si>
  <si>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</si>
  <si>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</si>
  <si>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</si>
  <si>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</si>
  <si>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</si>
  <si>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</si>
  <si>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</si>
  <si>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</si>
  <si>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</si>
  <si>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</si>
  <si>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</si>
  <si>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</si>
  <si>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</si>
  <si>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</si>
  <si>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</si>
  <si>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</si>
  <si>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</si>
  <si>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</si>
  <si>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</si>
  <si>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</si>
  <si>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</si>
  <si>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</si>
  <si>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</si>
  <si>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</si>
  <si>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</si>
  <si>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</si>
  <si>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</si>
  <si>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</si>
  <si>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</si>
  <si>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</si>
  <si>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</si>
  <si>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</si>
  <si>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</si>
  <si>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</si>
  <si>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</si>
  <si>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</si>
  <si>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</si>
  <si>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</si>
  <si>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</si>
  <si>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</si>
  <si>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</si>
  <si>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</si>
  <si>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</si>
  <si>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</si>
  <si>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</si>
  <si>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</si>
  <si>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</si>
  <si>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</si>
  <si>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</si>
  <si>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</si>
  <si>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</si>
  <si>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</si>
  <si>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</si>
  <si>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</si>
  <si>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</si>
  <si>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</si>
  <si>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</si>
  <si>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</si>
  <si>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</si>
  <si>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</si>
  <si>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</si>
  <si>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</si>
  <si>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</si>
  <si>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</si>
  <si>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</si>
  <si>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</si>
  <si>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</si>
  <si>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</si>
  <si>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</si>
  <si>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</si>
  <si>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</si>
  <si>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</si>
  <si>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</si>
  <si>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</si>
  <si>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</si>
  <si>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</si>
  <si>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</si>
  <si>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</si>
  <si>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</si>
  <si>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</si>
  <si>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</si>
  <si>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</si>
  <si>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</si>
  <si>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</si>
  <si>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</si>
  <si>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</si>
  <si>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</si>
  <si>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</si>
  <si>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</si>
  <si>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</si>
  <si>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</si>
  <si>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</si>
  <si>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</si>
  <si>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</si>
  <si>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</si>
  <si>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</si>
  <si>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</si>
  <si>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</si>
  <si>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</si>
  <si>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</si>
  <si>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</si>
  <si>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</si>
  <si>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</si>
  <si>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</si>
  <si>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</si>
  <si>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</si>
  <si>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</si>
  <si>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</si>
  <si>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</si>
  <si>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</si>
  <si>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</si>
  <si>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</si>
  <si>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</si>
  <si>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</si>
  <si>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</si>
  <si>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</si>
  <si>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</si>
  <si>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</si>
  <si>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</si>
  <si>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</si>
  <si>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</si>
  <si>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</si>
  <si>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</si>
  <si>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</si>
  <si>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</si>
  <si>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</si>
  <si>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</si>
  <si>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</si>
  <si>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</si>
  <si>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</si>
  <si>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</si>
  <si>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</si>
  <si>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</si>
  <si>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</si>
  <si>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</si>
  <si>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</si>
  <si>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</si>
  <si>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</si>
  <si>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</si>
  <si>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</si>
  <si>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</si>
  <si>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</si>
  <si>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</si>
  <si>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</si>
  <si>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</si>
  <si>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</si>
  <si>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</si>
  <si>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</si>
  <si>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</si>
  <si>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</si>
  <si>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</si>
  <si>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</si>
  <si>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</si>
  <si>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</si>
  <si>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</si>
  <si>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</si>
  <si>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</si>
  <si>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</si>
  <si>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</si>
  <si>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</si>
  <si>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</si>
  <si>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</si>
  <si>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</si>
  <si>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</si>
  <si>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</si>
  <si>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</si>
  <si>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</si>
  <si>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</si>
  <si>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</si>
  <si>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</si>
  <si>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</si>
  <si>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</si>
  <si>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</si>
  <si>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</si>
  <si>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</si>
  <si>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</si>
  <si>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</si>
  <si>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</si>
  <si>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</si>
  <si>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</si>
  <si>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</si>
  <si>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</si>
  <si>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</si>
  <si>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</si>
  <si>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</si>
  <si>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</si>
  <si>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</si>
  <si>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</si>
  <si>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</si>
  <si>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</si>
  <si>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</si>
  <si>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</si>
  <si>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</si>
  <si>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</si>
  <si>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</si>
  <si>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</si>
  <si>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</si>
  <si>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</si>
  <si>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</si>
  <si>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</si>
  <si>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</si>
  <si>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</si>
  <si>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</si>
  <si>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</si>
  <si>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</si>
  <si>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</si>
  <si>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</si>
  <si>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</si>
  <si>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</si>
  <si>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</si>
  <si>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</si>
  <si>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</si>
  <si>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</si>
  <si>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</si>
  <si>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</si>
  <si>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</si>
  <si>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</si>
  <si>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</si>
  <si>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</si>
  <si>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</si>
  <si>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</si>
  <si>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</si>
  <si>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</si>
  <si>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</si>
  <si>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</si>
  <si>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</si>
  <si>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</si>
  <si>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</si>
  <si>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</si>
  <si>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</si>
  <si>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</si>
  <si>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</si>
  <si>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</si>
  <si>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</si>
  <si>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</si>
  <si>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</si>
  <si>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</si>
  <si>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</si>
  <si>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</si>
  <si>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</si>
  <si>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</si>
  <si>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v1.9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</si>
</sst>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2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3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2"/>
      <tableStyleElement type="headerRow" dxfId="111"/>
    </tableStyle>
    <tableStyle name="Warehouse Inventory" pivot="0" count="4">
      <tableStyleElement type="wholeTable" dxfId="110"/>
      <tableStyleElement type="headerRow" dxfId="109"/>
      <tableStyleElement type="lastColumn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500" headerRowDxfId="106" totalsRowDxfId="105">
  <sortState ref="A3:D8">
    <sortCondition ref="B2:B8"/>
  </sortState>
  <tableColumns count="53">
    <tableColumn id="1" name="设备编号" totalsRowLabel="Totals" dataDxfId="104" dataCellStyle="Table details left aligned"/>
    <tableColumn id="2" name="设备名称" dataCellStyle="Table details left aligned"/>
    <tableColumn id="11" name="设备别名" dataDxfId="103" dataCellStyle="Table details left aligned"/>
    <tableColumn id="3" name="维修负责人" dataCellStyle="Table details left aligned"/>
    <tableColumn id="32" name="维修负责人2" dataDxfId="102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101" dataCellStyle="Table details center aligned"/>
    <tableColumn id="52" name="设备标准名称" dataDxfId="100" dataCellStyle="Table details center aligned"/>
    <tableColumn id="35" name="注册证号" dataDxfId="99" dataCellStyle="Table details center aligned"/>
    <tableColumn id="7" name="供应商" dataDxfId="98" dataCellStyle="Table details right aligned"/>
    <tableColumn id="23" name="医疗器械分类" dataDxfId="97" dataCellStyle="Table details right aligned"/>
    <tableColumn id="4" name="医疗器械子分类" dataDxfId="96" dataCellStyle="Table details right aligned"/>
    <tableColumn id="24" name="设备分类" dataDxfId="95" dataCellStyle="Table details right aligned"/>
    <tableColumn id="25" name="功能等级" dataDxfId="94" dataCellStyle="Table details right aligned"/>
    <tableColumn id="53" name="维修类型" dataDxfId="93" dataCellStyle="Table details right aligned"/>
    <tableColumn id="26" name="设备型号" dataDxfId="92" dataCellStyle="Table details right aligned"/>
    <tableColumn id="30" name="制造商序列号" dataDxfId="91" dataCellStyle="Table details right aligned"/>
    <tableColumn id="9" name="SystemID/厂商报修ID" dataDxfId="90" dataCellStyle="Table details right aligned"/>
    <tableColumn id="41" name="2010国家编码" dataDxfId="89" dataCellStyle="Table details right aligned"/>
    <tableColumn id="29" name="资产编号" dataDxfId="88" dataCellStyle="Table details right aligned"/>
    <tableColumn id="28" name="条码" dataDxfId="87" dataCellStyle="Table details right aligned"/>
    <tableColumn id="27" name="IT系统编号" dataDxfId="86" dataCellStyle="Table details right aligned"/>
    <tableColumn id="10" name="采购价格" dataCellStyle="Table details right aligned"/>
    <tableColumn id="13" name="最终残值" dataDxfId="85" totalsRowDxfId="84" dataCellStyle="Table details right aligned"/>
    <tableColumn id="14" name="折旧算法" dataDxfId="83" totalsRowDxfId="82" dataCellStyle="Table details right aligned"/>
    <tableColumn id="15" name="使用年限" dataDxfId="81" totalsRowDxfId="80" dataCellStyle="Table details right aligned"/>
    <tableColumn id="16" name="出厂日期" dataDxfId="79" totalsRowDxfId="78" dataCellStyle="Table details right aligned"/>
    <tableColumn id="17" name="采购日期" dataDxfId="77" totalsRowDxfId="76" dataCellStyle="Table details right aligned"/>
    <tableColumn id="18" name="到货日期" dataDxfId="75" totalsRowDxfId="74" dataCellStyle="Table details right aligned"/>
    <tableColumn id="19" name="启用日期" dataDxfId="73" totalsRowDxfId="72" dataCellStyle="Table details right aligned"/>
    <tableColumn id="39" name="质保日期" dataDxfId="71" totalsRowDxfId="70" dataCellStyle="Table details right aligned"/>
    <tableColumn id="20" name="维保截止日期" dataDxfId="69" totalsRowDxfId="68" dataCellStyle="Table details right aligned"/>
    <tableColumn id="21" name="报废日期" dataDxfId="67" totalsRowDxfId="66" dataCellStyle="Table details right aligned"/>
    <tableColumn id="22" name="上次维护日期" dataDxfId="65" totalsRowDxfId="64" dataCellStyle="Table details right aligned"/>
    <tableColumn id="6" name="上次计量日期" dataDxfId="63" totalsRowDxfId="62" dataCellStyle="Table details right aligned"/>
    <tableColumn id="12" name="上次质检日期" dataDxfId="61" totalsRowDxfId="60" dataCellStyle="Table details right aligned"/>
    <tableColumn id="31" name="维护商" dataDxfId="59" totalsRowDxfId="58" dataCellStyle="Table details right aligned"/>
    <tableColumn id="33" name="维护商电话" dataDxfId="57" totalsRowDxfId="56" dataCellStyle="Table details right aligned"/>
    <tableColumn id="34" name="二维码" dataDxfId="55" totalsRowDxfId="54" dataCellStyle="Table details right aligned"/>
    <tableColumn id="36" name="安装位置编码" dataDxfId="53" totalsRowDxfId="52" dataCellStyle="Table details right aligned"/>
    <tableColumn id="37" name="安装位置" dataDxfId="51" totalsRowDxfId="50" dataCellStyle="Table details right aligned"/>
    <tableColumn id="38" name="使用责任人" dataDxfId="49" totalsRowDxfId="48" dataCellStyle="Table details right aligned"/>
    <tableColumn id="40" name="备注" dataDxfId="47" totalsRowDxfId="46" dataCellStyle="Table details right aligned"/>
    <tableColumn id="42" name="用途分类" dataDxfId="45" totalsRowDxfId="44" dataCellStyle="Table details right aligned"/>
    <tableColumn id="43" name="资金来源" dataDxfId="43" totalsRowDxfId="42" dataCellStyle="Table details right aligned"/>
    <tableColumn id="44" name="风险等级" dataDxfId="41" totalsRowDxfId="40" dataCellStyle="Table details right aligned"/>
    <tableColumn id="45" name="计量等级" dataDxfId="39" totalsRowDxfId="38" dataCellStyle="Table details right aligned"/>
    <tableColumn id="46" name="计量项目类别" dataDxfId="37" totalsRowDxfId="36" dataCellStyle="Table details right aligned"/>
    <tableColumn id="47" name="是否急救设备" dataDxfId="35" totalsRowDxfId="34" dataCellStyle="Table details right aligned"/>
    <tableColumn id="48" name="是否进口设备" dataDxfId="33" totalsRowDxfId="32" dataCellStyle="Table details right aligned"/>
    <tableColumn id="49" name="使用状态" dataDxfId="31" totalsRowDxfId="30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A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3" ht="27">
      <c r="A1" s="24" t="s">
        <v>43</v>
      </c>
      <c r="B1" s="24" t="s">
        <v>14</v>
      </c>
      <c r="C1" s="24"/>
      <c r="D1" s="120" t="s">
        <v>121</v>
      </c>
      <c r="E1" s="121"/>
      <c r="F1" s="121"/>
      <c r="G1" s="121"/>
      <c r="H1" s="121"/>
      <c r="I1" s="121"/>
      <c r="J1" s="121"/>
      <c r="K1" s="121"/>
      <c r="L1" s="121"/>
    </row>
    <row r="2" spans="1:53" ht="15.75">
      <c r="A2" s="25" t="s">
        <v>44</v>
      </c>
      <c r="B2" s="26" t="s">
        <v>17</v>
      </c>
      <c r="C2" s="26" t="s">
        <v>544</v>
      </c>
      <c r="D2" s="121"/>
      <c r="E2" s="121"/>
      <c r="F2" s="121"/>
      <c r="G2" s="121"/>
      <c r="H2" s="121"/>
      <c r="I2" s="121"/>
      <c r="J2" s="121"/>
      <c r="K2" s="121"/>
      <c r="L2" s="121"/>
    </row>
    <row r="3" spans="1:53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</row>
    <row r="4" spans="1:53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1">
      <c r="A5" s="130">
        <f>COUNTA('Asset List'!$B$7:$B$500)</f>
        <v>1</v>
      </c>
      <c r="B5" s="131">
        <f>SUM('Asset List'!$Y$7:$Y$500)</f>
        <v>0</v>
      </c>
      <c r="C5" s="10"/>
      <c r="D5" s="10"/>
      <c r="E5" s="11"/>
      <c r="F5" s="11"/>
    </row>
    <row r="6" spans="1:53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537</v>
      </c>
      <c r="F6" s="29" t="s">
        <v>516</v>
      </c>
      <c r="G6" s="30" t="s">
        <v>525</v>
      </c>
      <c r="H6" s="30" t="s">
        <v>33</v>
      </c>
      <c r="I6" s="30" t="s">
        <v>536</v>
      </c>
      <c r="J6" s="30" t="s">
        <v>538</v>
      </c>
      <c r="K6" s="31" t="s">
        <v>112</v>
      </c>
      <c r="L6" s="32" t="s">
        <v>517</v>
      </c>
      <c r="M6" s="30" t="s">
        <v>522</v>
      </c>
      <c r="N6" s="93" t="s">
        <v>523</v>
      </c>
      <c r="O6" s="93" t="s">
        <v>520</v>
      </c>
      <c r="P6" s="30" t="s">
        <v>36</v>
      </c>
      <c r="Q6" s="30" t="s">
        <v>543</v>
      </c>
      <c r="R6" s="30" t="s">
        <v>113</v>
      </c>
      <c r="S6" s="30" t="s">
        <v>37</v>
      </c>
      <c r="T6" s="30" t="s">
        <v>86</v>
      </c>
      <c r="U6" s="30" t="s">
        <v>535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539</v>
      </c>
      <c r="AD6" s="30" t="s">
        <v>23</v>
      </c>
      <c r="AE6" s="30" t="s">
        <v>24</v>
      </c>
      <c r="AF6" s="93" t="s">
        <v>519</v>
      </c>
      <c r="AG6" s="93" t="s">
        <v>524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518</v>
      </c>
    </row>
    <row r="7" spans="1:53" ht="15.75">
      <c r="A7" s="35" t="s">
        <v>114</v>
      </c>
      <c r="B7" s="34" t="s">
        <v>534</v>
      </c>
      <c r="C7" s="34" t="s">
        <v>115</v>
      </c>
      <c r="D7" s="110" t="s">
        <v>521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483</v>
      </c>
    </row>
    <row r="8" spans="1:53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</row>
    <row r="9" spans="1:53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</row>
    <row r="10" spans="1:53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</row>
    <row r="11" spans="1:53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</row>
    <row r="12" spans="1:53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</row>
    <row r="13" spans="1:53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</row>
    <row r="14" spans="1:53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</row>
    <row r="15" spans="1:53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</row>
    <row r="16" spans="1:53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</row>
    <row r="17" spans="1:53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</row>
    <row r="18" spans="1:53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</row>
    <row r="19" spans="1:53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</row>
    <row r="20" spans="1:53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</row>
    <row r="21" spans="1:53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</row>
    <row r="22" spans="1:53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</row>
    <row r="23" spans="1:53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</row>
    <row r="24" spans="1:53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</row>
    <row r="25" spans="1:53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</row>
    <row r="26" spans="1:53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</row>
    <row r="27" spans="1:53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</row>
    <row r="28" spans="1:53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</row>
    <row r="29" spans="1:53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</row>
    <row r="30" spans="1:53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</row>
    <row r="31" spans="1:53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</row>
    <row r="32" spans="1:53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</row>
    <row r="33" spans="1:53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</row>
    <row r="34" spans="1:53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</row>
    <row r="35" spans="1:53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</row>
    <row r="36" spans="1:53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</row>
    <row r="37" spans="1:53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</row>
    <row r="38" spans="1:53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</row>
    <row r="39" spans="1:53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</row>
    <row r="40" spans="1:53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</row>
    <row r="41" spans="1:53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</row>
    <row r="42" spans="1:53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</row>
    <row r="43" spans="1:53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</row>
    <row r="44" spans="1:53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</row>
    <row r="45" spans="1:53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</row>
    <row r="46" spans="1:53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</row>
    <row r="47" spans="1:53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</row>
    <row r="48" spans="1:53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</row>
    <row r="49" spans="1:53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</row>
    <row r="50" spans="1:53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</row>
    <row r="51" spans="1:53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</row>
    <row r="52" spans="1:53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</row>
    <row r="53" spans="1:53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</row>
    <row r="54" spans="1:53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</row>
    <row r="55" spans="1:53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</row>
    <row r="56" spans="1:53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</row>
    <row r="57" spans="1:53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</row>
    <row r="58" spans="1:53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</row>
    <row r="59" spans="1:53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</row>
    <row r="60" spans="1:53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</row>
    <row r="61" spans="1:53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</row>
    <row r="62" spans="1:53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</row>
    <row r="63" spans="1:53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</row>
    <row r="64" spans="1:53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</row>
    <row r="65" spans="1:53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</row>
    <row r="66" spans="1:53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</row>
    <row r="67" spans="1:53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</row>
    <row r="68" spans="1:53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</row>
    <row r="69" spans="1:53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</row>
    <row r="70" spans="1:53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</row>
    <row r="71" spans="1:53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</row>
    <row r="72" spans="1:53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</row>
    <row r="73" spans="1:53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</row>
    <row r="74" spans="1:53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</row>
    <row r="75" spans="1:53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</row>
    <row r="76" spans="1:53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</row>
    <row r="77" spans="1:53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</row>
    <row r="78" spans="1:53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</row>
    <row r="79" spans="1:53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</row>
    <row r="80" spans="1:53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</row>
    <row r="81" spans="1:53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</row>
    <row r="82" spans="1:53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</row>
    <row r="83" spans="1:53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</row>
    <row r="84" spans="1:53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</row>
    <row r="85" spans="1:53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</row>
    <row r="86" spans="1:53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</row>
    <row r="87" spans="1:53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</row>
    <row r="88" spans="1:53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</row>
    <row r="89" spans="1:53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</row>
    <row r="90" spans="1:53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</row>
    <row r="91" spans="1:53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</row>
    <row r="92" spans="1:53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</row>
    <row r="93" spans="1:53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</row>
    <row r="94" spans="1:53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</row>
    <row r="95" spans="1:53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</row>
    <row r="96" spans="1:53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</row>
    <row r="97" spans="1:53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</row>
    <row r="98" spans="1:53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</row>
    <row r="99" spans="1:53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</row>
    <row r="100" spans="1:53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</row>
    <row r="101" spans="1:53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</row>
    <row r="102" spans="1:53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</row>
    <row r="103" spans="1:53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</row>
    <row r="104" spans="1:53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</row>
    <row r="105" spans="1:53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</row>
    <row r="106" spans="1:53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</row>
    <row r="107" spans="1:53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</row>
    <row r="108" spans="1:53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</row>
    <row r="109" spans="1:53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</row>
    <row r="110" spans="1:53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</row>
    <row r="111" spans="1:53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</row>
    <row r="112" spans="1:53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</row>
    <row r="113" spans="1:53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</row>
    <row r="114" spans="1:53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</row>
    <row r="115" spans="1:53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</row>
    <row r="116" spans="1:53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</row>
    <row r="117" spans="1:53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</row>
    <row r="118" spans="1:53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</row>
    <row r="119" spans="1:53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</row>
    <row r="120" spans="1:53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</row>
    <row r="121" spans="1:53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</row>
    <row r="122" spans="1:53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</row>
    <row r="123" spans="1:53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</row>
    <row r="124" spans="1:53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</row>
    <row r="125" spans="1:53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</row>
    <row r="126" spans="1:53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</row>
    <row r="127" spans="1:53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</row>
    <row r="128" spans="1:53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</row>
    <row r="129" spans="1:53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</row>
    <row r="130" spans="1:53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</row>
    <row r="131" spans="1:53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</row>
    <row r="132" spans="1:53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</row>
    <row r="133" spans="1:53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</row>
    <row r="134" spans="1:53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</row>
    <row r="135" spans="1:53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</row>
    <row r="136" spans="1:53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</row>
    <row r="137" spans="1:53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</row>
    <row r="138" spans="1:53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</row>
    <row r="139" spans="1:53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</row>
    <row r="140" spans="1:53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</row>
    <row r="141" spans="1:53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</row>
    <row r="142" spans="1:53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</row>
    <row r="143" spans="1:53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</row>
    <row r="144" spans="1:53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</row>
    <row r="145" spans="1:53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</row>
    <row r="146" spans="1:53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</row>
    <row r="147" spans="1:53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</row>
    <row r="148" spans="1:53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</row>
    <row r="149" spans="1:53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</row>
    <row r="150" spans="1:53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</row>
    <row r="151" spans="1:53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</row>
    <row r="152" spans="1:53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</row>
    <row r="153" spans="1:53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</row>
    <row r="154" spans="1:53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</row>
    <row r="155" spans="1:53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</row>
    <row r="156" spans="1:53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</row>
    <row r="157" spans="1:53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</row>
    <row r="158" spans="1:53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</row>
    <row r="159" spans="1:53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</row>
    <row r="160" spans="1:53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</row>
    <row r="161" spans="1:53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</row>
    <row r="162" spans="1:53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</row>
    <row r="163" spans="1:53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</row>
    <row r="164" spans="1:53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</row>
    <row r="165" spans="1:53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</row>
    <row r="166" spans="1:53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</row>
    <row r="167" spans="1:53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</row>
    <row r="168" spans="1:53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</row>
    <row r="169" spans="1:53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</row>
    <row r="170" spans="1:53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</row>
    <row r="171" spans="1:53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</row>
    <row r="172" spans="1:53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</row>
    <row r="173" spans="1:53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</row>
    <row r="174" spans="1:53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</row>
    <row r="175" spans="1:53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</row>
    <row r="176" spans="1:53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</row>
    <row r="177" spans="1:53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</row>
    <row r="178" spans="1:53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</row>
    <row r="179" spans="1:53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</row>
    <row r="180" spans="1:53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</row>
    <row r="181" spans="1:53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</row>
    <row r="182" spans="1:53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</row>
    <row r="183" spans="1:53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</row>
    <row r="184" spans="1:53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</row>
    <row r="185" spans="1:53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</row>
    <row r="186" spans="1:53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</row>
    <row r="187" spans="1:53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</row>
    <row r="188" spans="1:53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</row>
    <row r="189" spans="1:53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</row>
    <row r="190" spans="1:53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</row>
    <row r="191" spans="1:53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</row>
    <row r="192" spans="1:53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</row>
    <row r="193" spans="1:53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</row>
    <row r="194" spans="1:53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</row>
    <row r="195" spans="1:53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</row>
    <row r="196" spans="1:53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</row>
    <row r="197" spans="1:53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</row>
    <row r="198" spans="1:53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</row>
    <row r="199" spans="1:53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</row>
    <row r="200" spans="1:53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</row>
    <row r="201" spans="1:53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</row>
    <row r="202" spans="1:53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</row>
    <row r="203" spans="1:53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</row>
    <row r="204" spans="1:53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</row>
    <row r="205" spans="1:53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</row>
    <row r="206" spans="1:53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</row>
    <row r="207" spans="1:53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</row>
    <row r="208" spans="1:53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</row>
    <row r="209" spans="1:53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</row>
    <row r="210" spans="1:53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</row>
    <row r="211" spans="1:53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</row>
    <row r="212" spans="1:53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</row>
    <row r="213" spans="1:53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</row>
    <row r="214" spans="1:53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</row>
    <row r="215" spans="1:53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</row>
    <row r="216" spans="1:53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</row>
    <row r="217" spans="1:53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</row>
    <row r="218" spans="1:53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</row>
    <row r="219" spans="1:53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</row>
    <row r="220" spans="1:53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</row>
    <row r="221" spans="1:53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</row>
    <row r="222" spans="1:53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</row>
    <row r="223" spans="1:53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</row>
    <row r="224" spans="1:53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</row>
    <row r="225" spans="1:53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</row>
    <row r="226" spans="1:53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</row>
    <row r="227" spans="1:53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</row>
    <row r="228" spans="1:53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</row>
    <row r="229" spans="1:53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</row>
    <row r="230" spans="1:53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</row>
    <row r="231" spans="1:53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</row>
    <row r="232" spans="1:53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</row>
    <row r="233" spans="1:53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</row>
    <row r="234" spans="1:53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</row>
    <row r="235" spans="1:53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</row>
    <row r="236" spans="1:53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</row>
    <row r="237" spans="1:53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</row>
    <row r="238" spans="1:53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</row>
    <row r="239" spans="1:53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</row>
    <row r="240" spans="1:53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</row>
    <row r="241" spans="1:53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</row>
    <row r="242" spans="1:53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</row>
    <row r="243" spans="1:53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</row>
    <row r="244" spans="1:53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</row>
    <row r="245" spans="1:53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</row>
    <row r="246" spans="1:53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</row>
    <row r="247" spans="1:53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</row>
    <row r="248" spans="1:53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</row>
    <row r="249" spans="1:53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</row>
    <row r="250" spans="1:53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</row>
    <row r="251" spans="1:53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</row>
    <row r="252" spans="1:53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</row>
    <row r="253" spans="1:53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</row>
    <row r="254" spans="1:53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</row>
    <row r="255" spans="1:53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</row>
    <row r="256" spans="1:53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</row>
    <row r="257" spans="1:53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</row>
    <row r="258" spans="1:53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</row>
    <row r="259" spans="1:53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</row>
    <row r="260" spans="1:53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</row>
    <row r="261" spans="1:53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</row>
    <row r="262" spans="1:53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</row>
    <row r="263" spans="1:53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</row>
    <row r="264" spans="1:53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</row>
    <row r="265" spans="1:53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</row>
    <row r="266" spans="1:53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</row>
    <row r="267" spans="1:53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</row>
    <row r="268" spans="1:53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</row>
    <row r="269" spans="1:53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</row>
    <row r="270" spans="1:53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</row>
    <row r="271" spans="1:53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</row>
    <row r="272" spans="1:53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</row>
    <row r="273" spans="1:53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</row>
    <row r="274" spans="1:53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</row>
    <row r="275" spans="1:53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</row>
    <row r="276" spans="1:53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</row>
    <row r="277" spans="1:53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</row>
    <row r="278" spans="1:53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</row>
    <row r="279" spans="1:53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</row>
    <row r="280" spans="1:53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</row>
    <row r="281" spans="1:53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</row>
    <row r="282" spans="1:53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</row>
    <row r="283" spans="1:53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</row>
    <row r="284" spans="1:53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</row>
    <row r="285" spans="1:53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</row>
    <row r="286" spans="1:53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</row>
    <row r="287" spans="1:53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</row>
    <row r="288" spans="1:53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</row>
    <row r="289" spans="1:53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</row>
    <row r="290" spans="1:53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</row>
    <row r="291" spans="1:53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</row>
    <row r="292" spans="1:53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</row>
    <row r="293" spans="1:53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</row>
    <row r="294" spans="1:53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</row>
    <row r="295" spans="1:53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</row>
    <row r="296" spans="1:53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</row>
    <row r="297" spans="1:53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</row>
    <row r="298" spans="1:53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</row>
    <row r="299" spans="1:53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</row>
    <row r="300" spans="1:53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</row>
    <row r="301" spans="1:53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</row>
    <row r="302" spans="1:53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</row>
    <row r="303" spans="1:53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</row>
    <row r="304" spans="1:53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</row>
    <row r="305" spans="1:53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</row>
    <row r="306" spans="1:53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</row>
    <row r="307" spans="1:53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</row>
    <row r="308" spans="1:53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</row>
    <row r="309" spans="1:53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</row>
    <row r="310" spans="1:53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</row>
    <row r="311" spans="1:53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</row>
    <row r="312" spans="1:53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</row>
    <row r="313" spans="1:53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</row>
    <row r="314" spans="1:53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</row>
    <row r="315" spans="1:53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</row>
    <row r="316" spans="1:53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</row>
    <row r="317" spans="1:53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</row>
    <row r="318" spans="1:53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</row>
    <row r="319" spans="1:53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</row>
    <row r="320" spans="1:53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</row>
    <row r="321" spans="1:53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</row>
    <row r="322" spans="1:53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</row>
    <row r="323" spans="1:53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</row>
    <row r="324" spans="1:53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</row>
    <row r="325" spans="1:53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</row>
    <row r="326" spans="1:53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</row>
    <row r="327" spans="1:53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</row>
    <row r="328" spans="1:53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</row>
    <row r="329" spans="1:53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</row>
    <row r="330" spans="1:53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</row>
    <row r="331" spans="1:53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</row>
    <row r="332" spans="1:53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</row>
    <row r="333" spans="1:53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</row>
    <row r="334" spans="1:53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</row>
    <row r="335" spans="1:53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</row>
    <row r="336" spans="1:53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</row>
    <row r="337" spans="1:53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</row>
    <row r="338" spans="1:53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</row>
    <row r="339" spans="1:53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</row>
    <row r="340" spans="1:53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</row>
    <row r="341" spans="1:53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</row>
    <row r="342" spans="1:53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</row>
    <row r="343" spans="1:53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</row>
    <row r="344" spans="1:53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</row>
    <row r="345" spans="1:53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</row>
    <row r="346" spans="1:53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</row>
    <row r="347" spans="1:53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</row>
    <row r="348" spans="1:53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</row>
    <row r="349" spans="1:53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</row>
    <row r="350" spans="1:53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</row>
    <row r="351" spans="1:53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</row>
    <row r="352" spans="1:53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</row>
    <row r="353" spans="1:53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</row>
    <row r="354" spans="1:53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</row>
    <row r="355" spans="1:53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</row>
    <row r="356" spans="1:53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</row>
    <row r="357" spans="1:53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</row>
    <row r="358" spans="1:53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</row>
    <row r="359" spans="1:53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</row>
    <row r="360" spans="1:53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</row>
    <row r="361" spans="1:53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</row>
    <row r="362" spans="1:53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</row>
    <row r="363" spans="1:53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</row>
    <row r="364" spans="1:53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</row>
    <row r="365" spans="1:53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</row>
    <row r="366" spans="1:53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</row>
    <row r="367" spans="1:53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</row>
    <row r="368" spans="1:53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</row>
    <row r="369" spans="1:53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</row>
    <row r="370" spans="1:53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</row>
    <row r="371" spans="1:53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</row>
    <row r="372" spans="1:53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</row>
    <row r="373" spans="1:53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</row>
    <row r="374" spans="1:53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</row>
    <row r="375" spans="1:53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</row>
    <row r="376" spans="1:53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</row>
    <row r="377" spans="1:53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</row>
    <row r="378" spans="1:53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</row>
    <row r="379" spans="1:53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</row>
    <row r="380" spans="1:53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</row>
    <row r="381" spans="1:53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</row>
    <row r="382" spans="1:53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</row>
    <row r="383" spans="1:53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</row>
    <row r="384" spans="1:53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</row>
    <row r="385" spans="1:53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</row>
    <row r="386" spans="1:53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</row>
    <row r="387" spans="1:53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</row>
    <row r="388" spans="1:53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</row>
    <row r="389" spans="1:53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</row>
    <row r="390" spans="1:53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</row>
    <row r="391" spans="1:53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</row>
    <row r="392" spans="1:53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</row>
    <row r="393" spans="1:53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</row>
    <row r="394" spans="1:53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</row>
    <row r="395" spans="1:53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</row>
    <row r="396" spans="1:53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</row>
    <row r="397" spans="1:53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</row>
    <row r="398" spans="1:53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</row>
    <row r="399" spans="1:53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</row>
    <row r="400" spans="1:53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</row>
    <row r="401" spans="1:53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</row>
    <row r="402" spans="1:53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</row>
    <row r="403" spans="1:53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</row>
    <row r="404" spans="1:53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</row>
    <row r="405" spans="1:53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</row>
    <row r="406" spans="1:53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</row>
    <row r="407" spans="1:53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</row>
    <row r="408" spans="1:53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</row>
    <row r="409" spans="1:53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</row>
    <row r="410" spans="1:53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</row>
    <row r="411" spans="1:53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</row>
    <row r="412" spans="1:53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</row>
    <row r="413" spans="1:53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</row>
    <row r="414" spans="1:53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</row>
    <row r="415" spans="1:53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</row>
    <row r="416" spans="1:53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</row>
    <row r="417" spans="1:53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</row>
    <row r="418" spans="1:53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</row>
    <row r="419" spans="1:53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</row>
    <row r="420" spans="1:53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</row>
    <row r="421" spans="1:53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</row>
    <row r="422" spans="1:53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</row>
    <row r="423" spans="1:53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</row>
    <row r="424" spans="1:53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</row>
    <row r="425" spans="1:53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</row>
    <row r="426" spans="1:53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</row>
    <row r="427" spans="1:53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</row>
    <row r="428" spans="1:53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</row>
    <row r="429" spans="1:53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</row>
    <row r="430" spans="1:53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</row>
    <row r="431" spans="1:53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</row>
    <row r="432" spans="1:53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</row>
    <row r="433" spans="1:53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</row>
    <row r="434" spans="1:53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</row>
    <row r="435" spans="1:53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</row>
    <row r="436" spans="1:53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</row>
    <row r="437" spans="1:53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</row>
    <row r="438" spans="1:53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</row>
    <row r="439" spans="1:53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</row>
    <row r="440" spans="1:53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</row>
    <row r="441" spans="1:53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</row>
    <row r="442" spans="1:53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</row>
    <row r="443" spans="1:53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</row>
    <row r="444" spans="1:53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</row>
    <row r="445" spans="1:53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</row>
    <row r="446" spans="1:53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</row>
    <row r="447" spans="1:53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</row>
    <row r="448" spans="1:53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</row>
    <row r="449" spans="1:53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</row>
    <row r="450" spans="1:53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</row>
    <row r="451" spans="1:53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</row>
    <row r="452" spans="1:53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</row>
    <row r="453" spans="1:53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</row>
    <row r="454" spans="1:53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</row>
    <row r="455" spans="1:53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</row>
    <row r="456" spans="1:53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</row>
    <row r="457" spans="1:53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</row>
    <row r="458" spans="1:53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</row>
    <row r="459" spans="1:53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</row>
    <row r="460" spans="1:53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</row>
    <row r="461" spans="1:53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</row>
    <row r="462" spans="1:53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</row>
    <row r="463" spans="1:53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</row>
    <row r="464" spans="1:53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</row>
    <row r="465" spans="1:53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</row>
    <row r="466" spans="1:53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</row>
    <row r="467" spans="1:53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</row>
    <row r="468" spans="1:53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</row>
    <row r="469" spans="1:53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</row>
    <row r="470" spans="1:53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</row>
    <row r="471" spans="1:53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</row>
    <row r="472" spans="1:53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</row>
    <row r="473" spans="1:53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</row>
    <row r="474" spans="1:53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</row>
    <row r="475" spans="1:53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</row>
    <row r="476" spans="1:53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</row>
    <row r="477" spans="1:53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</row>
    <row r="478" spans="1:53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</row>
    <row r="479" spans="1:53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</row>
    <row r="480" spans="1:53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</row>
    <row r="481" spans="1:53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</row>
    <row r="482" spans="1:53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</row>
    <row r="483" spans="1:53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</row>
    <row r="484" spans="1:53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</row>
    <row r="485" spans="1:53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</row>
    <row r="486" spans="1:53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</row>
    <row r="487" spans="1:53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</row>
    <row r="488" spans="1:53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</row>
    <row r="489" spans="1:53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</row>
    <row r="490" spans="1:53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</row>
    <row r="491" spans="1:53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</row>
    <row r="492" spans="1:53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</row>
    <row r="493" spans="1:53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</row>
    <row r="494" spans="1:53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</row>
    <row r="495" spans="1:53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</row>
    <row r="496" spans="1:53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</row>
    <row r="497" spans="1:53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</row>
    <row r="498" spans="1:53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</row>
    <row r="499" spans="1:53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</row>
    <row r="500" spans="1:53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</row>
    <row r="501" spans="1:53" ht="30" customHeight="1">
      <c r="E501" s="11"/>
      <c r="F501" s="11"/>
      <c r="Z501" s="18"/>
    </row>
    <row r="502" spans="1:53" ht="30" customHeight="1">
      <c r="E502" s="11"/>
      <c r="F502" s="11"/>
    </row>
    <row r="503" spans="1:53" ht="30" customHeight="1">
      <c r="E503" s="11"/>
      <c r="F503" s="11"/>
    </row>
    <row r="504" spans="1:53" ht="30" customHeight="1">
      <c r="E504" s="11"/>
      <c r="F504" s="11"/>
    </row>
    <row r="505" spans="1:53" ht="30" customHeight="1">
      <c r="E505" s="11"/>
      <c r="F505" s="11"/>
    </row>
    <row r="506" spans="1:53" ht="30" customHeight="1">
      <c r="E506" s="11"/>
      <c r="F506" s="11"/>
    </row>
    <row r="507" spans="1:53" ht="30" customHeight="1">
      <c r="E507" s="11"/>
      <c r="F507" s="11"/>
    </row>
    <row r="508" spans="1:53" ht="30" customHeight="1">
      <c r="E508" s="11"/>
      <c r="F508" s="11"/>
    </row>
    <row r="509" spans="1:53" ht="30" customHeight="1">
      <c r="E509" s="11"/>
      <c r="F509" s="11"/>
    </row>
    <row r="510" spans="1:53" ht="30" customHeight="1">
      <c r="E510" s="11"/>
      <c r="F510" s="11"/>
    </row>
    <row r="511" spans="1:53" ht="30" customHeight="1">
      <c r="E511" s="11"/>
      <c r="F511" s="11"/>
    </row>
    <row r="512" spans="1:53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S7:AI7 M7:N7">
    <cfRule type="expression" dxfId="27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26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25" priority="33">
      <formula>"If(blnBinNo=""True"")"</formula>
    </cfRule>
  </conditionalFormatting>
  <conditionalFormatting sqref="AE7">
    <cfRule type="expression" dxfId="24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23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22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21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20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19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O7">
    <cfRule type="expression" dxfId="17" priority="28">
      <formula>"If(blnBinNo=""True"")"</formula>
    </cfRule>
  </conditionalFormatting>
  <conditionalFormatting sqref="B7:L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P8:R500">
    <cfRule type="expression" dxfId="13" priority="22">
      <formula>"If(blnBinNo=""True"")"</formula>
    </cfRule>
  </conditionalFormatting>
  <conditionalFormatting sqref="S8:AI500 M8:N500">
    <cfRule type="expression" dxfId="12" priority="20">
      <formula>"If(blnBinNo=""True"")"</formula>
    </cfRule>
  </conditionalFormatting>
  <conditionalFormatting sqref="AD8:AD500">
    <cfRule type="expression" dxfId="11" priority="18">
      <formula>"If(blnBinNo=""True"")"</formula>
    </cfRule>
  </conditionalFormatting>
  <conditionalFormatting sqref="AL8:AN500">
    <cfRule type="expression" dxfId="10" priority="4">
      <formula>"If(blnBinNo=""True"")"</formula>
    </cfRule>
  </conditionalFormatting>
  <conditionalFormatting sqref="AE8:AE500">
    <cfRule type="expression" dxfId="9" priority="16">
      <formula>"If(blnBinNo=""True"")"</formula>
    </cfRule>
  </conditionalFormatting>
  <conditionalFormatting sqref="AF8:AG500">
    <cfRule type="expression" dxfId="8" priority="14">
      <formula>"If(blnBinNo=""True"")"</formula>
    </cfRule>
  </conditionalFormatting>
  <conditionalFormatting sqref="AH8:AH500">
    <cfRule type="expression" dxfId="7" priority="12">
      <formula>"If(blnBinNo=""True"")"</formula>
    </cfRule>
  </conditionalFormatting>
  <conditionalFormatting sqref="AI8:AI500">
    <cfRule type="expression" dxfId="6" priority="10">
      <formula>"If(blnBinNo=""True"")"</formula>
    </cfRule>
  </conditionalFormatting>
  <conditionalFormatting sqref="AJ8:AJ500">
    <cfRule type="expression" dxfId="5" priority="8">
      <formula>"If(blnBinNo=""True"")"</formula>
    </cfRule>
  </conditionalFormatting>
  <conditionalFormatting sqref="AK8:AK500">
    <cfRule type="expression" dxfId="4" priority="6">
      <formula>"If(blnBinNo=""True"")"</formula>
    </cfRule>
  </conditionalFormatting>
  <conditionalFormatting sqref="O8:O500">
    <cfRule type="expression" dxfId="3" priority="3">
      <formula>"If(blnBinNo=""True"")"</formula>
    </cfRule>
  </conditionalFormatting>
  <conditionalFormatting sqref="B8:L500">
    <cfRule type="expression" dxfId="2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BA7:BA500">
      <formula1>INDIRECT("设备状态")</formula1>
    </dataValidation>
    <dataValidation type="list" allowBlank="1" showInputMessage="1" showErrorMessage="1" sqref="N7:N500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540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2" t="s">
        <v>148</v>
      </c>
      <c r="B1" s="122"/>
      <c r="C1" s="122"/>
      <c r="D1" s="122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3" t="s">
        <v>156</v>
      </c>
      <c r="B6" s="124"/>
      <c r="C6" s="124"/>
      <c r="D6" s="125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6" t="s">
        <v>172</v>
      </c>
      <c r="B23" s="127"/>
      <c r="C23" s="127"/>
      <c r="D23" s="128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29" t="s">
        <v>122</v>
      </c>
      <c r="B1" s="129" t="s">
        <v>123</v>
      </c>
      <c r="C1" s="129"/>
      <c r="D1" s="129" t="s">
        <v>124</v>
      </c>
    </row>
    <row r="2" spans="1:4">
      <c r="A2" s="129"/>
      <c r="B2" s="38" t="s">
        <v>125</v>
      </c>
      <c r="C2" s="38" t="s">
        <v>126</v>
      </c>
      <c r="D2" s="129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4" workbookViewId="0">
      <selection activeCell="B14" sqref="B14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</row>
    <row r="2" spans="1:12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</row>
    <row r="3" spans="1:12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</row>
    <row r="4" spans="1:12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540</v>
      </c>
      <c r="H4" s="116" t="s">
        <v>540</v>
      </c>
      <c r="I4" s="99" t="s">
        <v>453</v>
      </c>
      <c r="J4" s="101" t="s">
        <v>484</v>
      </c>
      <c r="K4" s="103" t="s">
        <v>488</v>
      </c>
      <c r="L4" s="107" t="s">
        <v>491</v>
      </c>
    </row>
    <row r="5" spans="1:12">
      <c r="A5" s="95" t="s">
        <v>424</v>
      </c>
      <c r="B5" s="107" t="s">
        <v>424</v>
      </c>
      <c r="C5" s="116" t="s">
        <v>540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540</v>
      </c>
      <c r="L5" s="107" t="s">
        <v>492</v>
      </c>
    </row>
    <row r="6" spans="1:12">
      <c r="A6" s="116" t="s">
        <v>529</v>
      </c>
      <c r="B6" s="116" t="s">
        <v>529</v>
      </c>
      <c r="D6" s="116" t="s">
        <v>540</v>
      </c>
      <c r="E6" s="116" t="s">
        <v>540</v>
      </c>
      <c r="F6" s="116" t="s">
        <v>540</v>
      </c>
      <c r="I6" s="99" t="s">
        <v>455</v>
      </c>
      <c r="J6" s="116" t="s">
        <v>540</v>
      </c>
      <c r="L6" s="107" t="s">
        <v>493</v>
      </c>
    </row>
    <row r="7" spans="1:12">
      <c r="A7" s="116" t="s">
        <v>530</v>
      </c>
      <c r="B7" s="116" t="s">
        <v>530</v>
      </c>
      <c r="I7" s="99" t="s">
        <v>456</v>
      </c>
      <c r="L7" s="107" t="s">
        <v>494</v>
      </c>
    </row>
    <row r="8" spans="1:12">
      <c r="A8" s="116" t="s">
        <v>531</v>
      </c>
      <c r="B8" s="116" t="s">
        <v>531</v>
      </c>
      <c r="I8" s="99" t="s">
        <v>457</v>
      </c>
      <c r="L8" s="116" t="s">
        <v>540</v>
      </c>
    </row>
    <row r="9" spans="1:12">
      <c r="A9" s="95" t="s">
        <v>425</v>
      </c>
      <c r="B9" s="107" t="s">
        <v>425</v>
      </c>
      <c r="I9" s="99" t="s">
        <v>458</v>
      </c>
    </row>
    <row r="10" spans="1:12">
      <c r="A10" s="95" t="s">
        <v>426</v>
      </c>
      <c r="B10" s="107" t="s">
        <v>426</v>
      </c>
      <c r="I10" s="99" t="s">
        <v>459</v>
      </c>
    </row>
    <row r="11" spans="1:12">
      <c r="A11" s="117" t="s">
        <v>528</v>
      </c>
      <c r="B11" s="117" t="s">
        <v>528</v>
      </c>
      <c r="H11" s="107"/>
      <c r="I11" s="99" t="s">
        <v>460</v>
      </c>
    </row>
    <row r="12" spans="1:12">
      <c r="A12" s="117" t="s">
        <v>532</v>
      </c>
      <c r="B12" s="117" t="s">
        <v>532</v>
      </c>
      <c r="H12" s="107"/>
      <c r="I12" s="99" t="s">
        <v>461</v>
      </c>
    </row>
    <row r="13" spans="1:12">
      <c r="A13" s="117" t="s">
        <v>533</v>
      </c>
      <c r="B13" s="117" t="s">
        <v>533</v>
      </c>
      <c r="H13" s="107"/>
      <c r="I13" s="99" t="s">
        <v>462</v>
      </c>
    </row>
    <row r="14" spans="1:12">
      <c r="A14" s="95" t="s">
        <v>427</v>
      </c>
      <c r="B14" s="107" t="s">
        <v>427</v>
      </c>
      <c r="H14" s="107"/>
      <c r="I14" s="99" t="s">
        <v>463</v>
      </c>
    </row>
    <row r="15" spans="1:12">
      <c r="B15" s="116"/>
      <c r="H15" s="107"/>
      <c r="I15" s="99" t="s">
        <v>464</v>
      </c>
    </row>
    <row r="16" spans="1:12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526</v>
      </c>
    </row>
    <row r="35" spans="8:9">
      <c r="I35" s="115" t="s">
        <v>527</v>
      </c>
    </row>
    <row r="36" spans="8:9">
      <c r="I36" s="116" t="s">
        <v>540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541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542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540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540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540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540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540</v>
      </c>
      <c r="X4" s="95" t="s">
        <v>312</v>
      </c>
      <c r="Y4" t="s">
        <v>540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540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540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540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540</v>
      </c>
      <c r="F6" s="116" t="s">
        <v>540</v>
      </c>
      <c r="G6" s="95" t="s">
        <v>216</v>
      </c>
      <c r="H6" s="95" t="s">
        <v>224</v>
      </c>
      <c r="K6" s="116" t="s">
        <v>540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540</v>
      </c>
      <c r="V6" t="s">
        <v>305</v>
      </c>
      <c r="X6" s="116" t="s">
        <v>540</v>
      </c>
      <c r="Z6" s="95" t="s">
        <v>320</v>
      </c>
      <c r="AA6" s="116" t="s">
        <v>540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540</v>
      </c>
      <c r="AK6" s="116" t="s">
        <v>540</v>
      </c>
      <c r="AL6" s="95" t="s">
        <v>406</v>
      </c>
      <c r="AM6" s="95" t="s">
        <v>415</v>
      </c>
    </row>
    <row r="7" spans="1:41">
      <c r="A7" s="116" t="s">
        <v>540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540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540</v>
      </c>
      <c r="AD7" s="95" t="s">
        <v>346</v>
      </c>
      <c r="AE7" s="95" t="s">
        <v>359</v>
      </c>
      <c r="AG7" s="95" t="s">
        <v>370</v>
      </c>
      <c r="AH7" s="116" t="s">
        <v>540</v>
      </c>
      <c r="AI7" s="95" t="s">
        <v>383</v>
      </c>
      <c r="AL7" s="95" t="s">
        <v>407</v>
      </c>
      <c r="AM7" s="116" t="s">
        <v>540</v>
      </c>
    </row>
    <row r="8" spans="1:41">
      <c r="B8" s="116" t="s">
        <v>540</v>
      </c>
      <c r="C8" s="116" t="s">
        <v>540</v>
      </c>
      <c r="D8" s="95" t="s">
        <v>203</v>
      </c>
      <c r="G8" s="95" t="s">
        <v>218</v>
      </c>
      <c r="H8" s="116" t="s">
        <v>540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540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540</v>
      </c>
      <c r="G9" s="95" t="s">
        <v>219</v>
      </c>
      <c r="L9" s="116" t="s">
        <v>540</v>
      </c>
      <c r="M9" s="95" t="s">
        <v>246</v>
      </c>
      <c r="N9" s="95" t="s">
        <v>265</v>
      </c>
      <c r="O9" s="116" t="s">
        <v>540</v>
      </c>
      <c r="R9" s="95" t="s">
        <v>291</v>
      </c>
      <c r="V9" t="s">
        <v>540</v>
      </c>
      <c r="Z9" s="95" t="s">
        <v>323</v>
      </c>
      <c r="AB9" s="116" t="s">
        <v>540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540</v>
      </c>
      <c r="M10" s="95" t="s">
        <v>247</v>
      </c>
      <c r="N10" s="116" t="s">
        <v>540</v>
      </c>
      <c r="R10" s="95" t="s">
        <v>292</v>
      </c>
      <c r="Z10" s="95" t="s">
        <v>324</v>
      </c>
      <c r="AD10" s="95" t="s">
        <v>349</v>
      </c>
      <c r="AE10" s="116" t="s">
        <v>540</v>
      </c>
      <c r="AG10" s="116" t="s">
        <v>540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540</v>
      </c>
      <c r="Z11" s="116" t="s">
        <v>540</v>
      </c>
      <c r="AD11" s="95" t="s">
        <v>350</v>
      </c>
      <c r="AI11" s="95" t="s">
        <v>387</v>
      </c>
      <c r="AL11" s="116" t="s">
        <v>540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540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540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540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2017-12-27T03:42:33Z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